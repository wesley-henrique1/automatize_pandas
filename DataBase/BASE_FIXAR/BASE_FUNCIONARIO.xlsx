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sley.oliveira\WS_OLIVEIRA\SCRIPTS\DataBase\BASE_FIXAR\"/>
    </mc:Choice>
  </mc:AlternateContent>
  <xr:revisionPtr revIDLastSave="0" documentId="13_ncr:1_{9184AC8B-60E3-40D7-90F9-3108C5E9A3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IVOS" sheetId="7" r:id="rId1"/>
    <sheet name="ABST" sheetId="2" r:id="rId2"/>
    <sheet name="CD_EQUIPES" sheetId="8" r:id="rId3"/>
    <sheet name="8573" sheetId="9" r:id="rId4"/>
  </sheets>
  <definedNames>
    <definedName name="_xlnm._FilterDatabase" localSheetId="3" hidden="1">'8573'!$A$1:$E$364</definedName>
    <definedName name="_xlnm._FilterDatabase" localSheetId="1" hidden="1">ABST!$A$1:$E$52</definedName>
    <definedName name="_xlnm._FilterDatabase" localSheetId="0" hidden="1">ATIVOS!$A$1:$H$269</definedName>
    <definedName name="_xlnm._FilterDatabase" localSheetId="2" hidden="1">CD_EQUIPES!$A$1:$B$13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7" l="1"/>
  <c r="H48" i="7"/>
  <c r="H95" i="7"/>
  <c r="H34" i="7"/>
  <c r="H171" i="7"/>
  <c r="H222" i="7"/>
  <c r="H51" i="7"/>
  <c r="H32" i="7"/>
  <c r="H15" i="7"/>
  <c r="H66" i="7"/>
  <c r="H30" i="7"/>
  <c r="H46" i="7"/>
  <c r="H156" i="7"/>
  <c r="H84" i="7"/>
  <c r="H42" i="7"/>
  <c r="H68" i="7"/>
  <c r="H14" i="7"/>
  <c r="H97" i="7"/>
  <c r="H214" i="7"/>
  <c r="H11" i="7"/>
  <c r="H109" i="7"/>
  <c r="H4" i="7"/>
  <c r="H168" i="7"/>
  <c r="H234" i="7"/>
  <c r="H18" i="7"/>
  <c r="H107" i="7"/>
  <c r="H55" i="7"/>
  <c r="H111" i="7"/>
  <c r="H20" i="7"/>
  <c r="H180" i="7"/>
  <c r="H16" i="7"/>
  <c r="H102" i="7"/>
  <c r="H9" i="7"/>
  <c r="H268" i="7"/>
  <c r="H135" i="7"/>
  <c r="H241" i="7"/>
  <c r="H143" i="7"/>
  <c r="H79" i="7"/>
  <c r="H238" i="7"/>
  <c r="H193" i="7"/>
  <c r="H28" i="7"/>
  <c r="H247" i="7"/>
  <c r="H70" i="7"/>
  <c r="H100" i="7"/>
  <c r="H98" i="7"/>
  <c r="H141" i="7"/>
  <c r="H177" i="7"/>
  <c r="H223" i="7"/>
  <c r="H136" i="7"/>
  <c r="H130" i="7"/>
  <c r="H158" i="7"/>
  <c r="H22" i="7"/>
  <c r="H50" i="7"/>
  <c r="H117" i="7"/>
  <c r="H250" i="7"/>
  <c r="H200" i="7"/>
  <c r="H163" i="7"/>
  <c r="H170" i="7"/>
  <c r="H185" i="7"/>
  <c r="H5" i="7"/>
  <c r="H213" i="7"/>
  <c r="H231" i="7"/>
  <c r="H99" i="7"/>
  <c r="H176" i="7"/>
  <c r="H17" i="7"/>
  <c r="H162" i="7"/>
  <c r="H45" i="7"/>
  <c r="H201" i="7"/>
  <c r="H217" i="7"/>
  <c r="H21" i="7"/>
  <c r="H41" i="7"/>
  <c r="H195" i="7"/>
  <c r="H189" i="7"/>
  <c r="H242" i="7"/>
  <c r="H92" i="7"/>
  <c r="H87" i="7"/>
  <c r="H61" i="7"/>
  <c r="H255" i="7"/>
  <c r="H210" i="7"/>
  <c r="H174" i="7"/>
  <c r="H132" i="7"/>
  <c r="H49" i="7"/>
  <c r="H191" i="7"/>
  <c r="H112" i="7"/>
  <c r="H194" i="7"/>
  <c r="H233" i="7"/>
  <c r="H105" i="7"/>
  <c r="H47" i="7"/>
  <c r="H172" i="7"/>
  <c r="H164" i="7"/>
  <c r="H38" i="7"/>
  <c r="H120" i="7"/>
  <c r="H76" i="7"/>
  <c r="H239" i="7"/>
  <c r="H173" i="7"/>
  <c r="H166" i="7"/>
  <c r="H267" i="7"/>
  <c r="H75" i="7"/>
  <c r="H198" i="7"/>
  <c r="H24" i="7"/>
  <c r="H240" i="7"/>
  <c r="H113" i="7"/>
  <c r="H58" i="7"/>
  <c r="H67" i="7"/>
  <c r="H235" i="7"/>
  <c r="H131" i="7"/>
  <c r="H23" i="7"/>
  <c r="H264" i="7"/>
  <c r="H221" i="7"/>
  <c r="H155" i="7"/>
  <c r="H40" i="7"/>
  <c r="H43" i="7"/>
  <c r="H260" i="7"/>
  <c r="H211" i="7"/>
  <c r="H149" i="7"/>
  <c r="H137" i="7"/>
  <c r="H118" i="7"/>
  <c r="H33" i="7"/>
  <c r="H85" i="7"/>
  <c r="H72" i="7"/>
  <c r="H186" i="7"/>
  <c r="H249" i="7"/>
  <c r="H138" i="7"/>
  <c r="H263" i="7"/>
  <c r="H160" i="7"/>
  <c r="H26" i="7"/>
  <c r="H7" i="7"/>
  <c r="H74" i="7"/>
  <c r="H63" i="7"/>
  <c r="H13" i="7"/>
  <c r="H56" i="7"/>
  <c r="H192" i="7"/>
  <c r="H208" i="7"/>
  <c r="H121" i="7"/>
  <c r="H39" i="7"/>
  <c r="H215" i="7"/>
  <c r="H245" i="7"/>
  <c r="H219" i="7"/>
  <c r="H226" i="7"/>
  <c r="H65" i="7"/>
  <c r="H126" i="7"/>
  <c r="H115" i="7"/>
  <c r="H218" i="7"/>
  <c r="H104" i="7"/>
  <c r="H157" i="7"/>
  <c r="H229" i="7"/>
  <c r="H90" i="7"/>
  <c r="H167" i="7"/>
  <c r="H80" i="7"/>
  <c r="H94" i="7"/>
  <c r="H175" i="7"/>
  <c r="H89" i="7"/>
  <c r="H237" i="7"/>
  <c r="H184" i="7"/>
  <c r="H145" i="7"/>
  <c r="H8" i="7"/>
  <c r="H202" i="7"/>
  <c r="H206" i="7"/>
  <c r="H246" i="7"/>
  <c r="H78" i="7"/>
  <c r="H146" i="7"/>
  <c r="H190" i="7"/>
  <c r="H159" i="7"/>
  <c r="H151" i="7"/>
  <c r="H57" i="7"/>
  <c r="H96" i="7"/>
  <c r="H224" i="7"/>
  <c r="H259" i="7"/>
  <c r="H182" i="7"/>
  <c r="H125" i="7"/>
  <c r="H261" i="7"/>
  <c r="H124" i="7"/>
  <c r="H110" i="7"/>
  <c r="H91" i="7"/>
  <c r="H199" i="7"/>
  <c r="H52" i="7"/>
  <c r="H236" i="7"/>
  <c r="H207" i="7"/>
  <c r="H257" i="7"/>
  <c r="H83" i="7"/>
  <c r="H106" i="7"/>
  <c r="H197" i="7"/>
  <c r="H244" i="7"/>
  <c r="H178" i="7"/>
  <c r="H256" i="7"/>
  <c r="H269" i="7"/>
  <c r="H188" i="7"/>
  <c r="H128" i="7"/>
  <c r="H232" i="7"/>
  <c r="H243" i="7"/>
  <c r="H103" i="7"/>
  <c r="H35" i="7"/>
  <c r="H44" i="7"/>
  <c r="H31" i="7"/>
  <c r="H93" i="7"/>
  <c r="H88" i="7"/>
  <c r="H119" i="7"/>
  <c r="H82" i="7"/>
  <c r="H220" i="7"/>
  <c r="H116" i="7"/>
  <c r="H262" i="7"/>
  <c r="H139" i="7"/>
  <c r="H29" i="7"/>
  <c r="H133" i="7"/>
  <c r="H144" i="7"/>
  <c r="H134" i="7"/>
  <c r="H212" i="7"/>
  <c r="H73" i="7"/>
  <c r="H10" i="7"/>
  <c r="H86" i="7"/>
  <c r="H71" i="7"/>
  <c r="H62" i="7"/>
  <c r="H154" i="7"/>
  <c r="H205" i="7"/>
  <c r="H148" i="7"/>
  <c r="H225" i="7"/>
  <c r="H81" i="7"/>
  <c r="H59" i="7"/>
  <c r="H25" i="7"/>
  <c r="H101" i="7"/>
  <c r="H36" i="7"/>
  <c r="H228" i="7"/>
  <c r="H129" i="7"/>
  <c r="H123" i="7"/>
  <c r="H152" i="7"/>
  <c r="H266" i="7"/>
  <c r="H252" i="7"/>
  <c r="H69" i="7"/>
  <c r="H209" i="7"/>
  <c r="H60" i="7"/>
  <c r="H179" i="7"/>
  <c r="H181" i="7"/>
  <c r="H196" i="7"/>
  <c r="H161" i="7"/>
  <c r="H251" i="7"/>
  <c r="H53" i="7"/>
  <c r="H27" i="7"/>
  <c r="H108" i="7"/>
  <c r="H54" i="7"/>
  <c r="H147" i="7"/>
  <c r="H187" i="7"/>
  <c r="H142" i="7"/>
  <c r="H114" i="7"/>
  <c r="H150" i="7"/>
  <c r="H216" i="7"/>
  <c r="H169" i="7"/>
  <c r="H203" i="7"/>
  <c r="H253" i="7"/>
  <c r="H140" i="7"/>
  <c r="H227" i="7"/>
  <c r="H77" i="7"/>
  <c r="H204" i="7"/>
  <c r="H12" i="7"/>
  <c r="H183" i="7"/>
  <c r="H248" i="7"/>
  <c r="H127" i="7"/>
  <c r="H37" i="7"/>
  <c r="H122" i="7"/>
  <c r="H64" i="7"/>
  <c r="H153" i="7"/>
  <c r="H6" i="7"/>
  <c r="H258" i="7"/>
  <c r="H254" i="7"/>
  <c r="H19" i="7"/>
  <c r="H165" i="7"/>
  <c r="H265" i="7"/>
  <c r="H230" i="7"/>
  <c r="C230" i="7"/>
  <c r="C48" i="7"/>
  <c r="C95" i="7"/>
  <c r="C34" i="7"/>
  <c r="C171" i="7"/>
  <c r="C222" i="7"/>
  <c r="C51" i="7"/>
  <c r="C32" i="7"/>
  <c r="C15" i="7"/>
  <c r="C66" i="7"/>
  <c r="C30" i="7"/>
  <c r="C46" i="7"/>
  <c r="C156" i="7"/>
  <c r="C84" i="7"/>
  <c r="C42" i="7"/>
  <c r="C68" i="7"/>
  <c r="C14" i="7"/>
  <c r="C97" i="7"/>
  <c r="C214" i="7"/>
  <c r="C11" i="7"/>
  <c r="C109" i="7"/>
  <c r="C4" i="7"/>
  <c r="C168" i="7"/>
  <c r="C234" i="7"/>
  <c r="C18" i="7"/>
  <c r="C107" i="7"/>
  <c r="C55" i="7"/>
  <c r="C111" i="7"/>
  <c r="C20" i="7"/>
  <c r="C180" i="7"/>
  <c r="C16" i="7"/>
  <c r="C102" i="7"/>
  <c r="C9" i="7"/>
  <c r="C268" i="7"/>
  <c r="C135" i="7"/>
  <c r="C241" i="7"/>
  <c r="C143" i="7"/>
  <c r="C79" i="7"/>
  <c r="C238" i="7"/>
  <c r="C193" i="7"/>
  <c r="C28" i="7"/>
  <c r="C247" i="7"/>
  <c r="C70" i="7"/>
  <c r="C100" i="7"/>
  <c r="C98" i="7"/>
  <c r="C141" i="7"/>
  <c r="C177" i="7"/>
  <c r="C223" i="7"/>
  <c r="C136" i="7"/>
  <c r="C130" i="7"/>
  <c r="C158" i="7"/>
  <c r="C22" i="7"/>
  <c r="C50" i="7"/>
  <c r="C117" i="7"/>
  <c r="C250" i="7"/>
  <c r="C200" i="7"/>
  <c r="C163" i="7"/>
  <c r="C170" i="7"/>
  <c r="C185" i="7"/>
  <c r="C5" i="7"/>
  <c r="C213" i="7"/>
  <c r="C231" i="7"/>
  <c r="C99" i="7"/>
  <c r="C176" i="7"/>
  <c r="C17" i="7"/>
  <c r="C162" i="7"/>
  <c r="C45" i="7"/>
  <c r="C201" i="7"/>
  <c r="C217" i="7"/>
  <c r="C21" i="7"/>
  <c r="C41" i="7"/>
  <c r="C195" i="7"/>
  <c r="C189" i="7"/>
  <c r="C242" i="7"/>
  <c r="C92" i="7"/>
  <c r="C87" i="7"/>
  <c r="C61" i="7"/>
  <c r="C255" i="7"/>
  <c r="C210" i="7"/>
  <c r="C174" i="7"/>
  <c r="C132" i="7"/>
  <c r="C49" i="7"/>
  <c r="C191" i="7"/>
  <c r="C112" i="7"/>
  <c r="C194" i="7"/>
  <c r="C233" i="7"/>
  <c r="C105" i="7"/>
  <c r="C47" i="7"/>
  <c r="C172" i="7"/>
  <c r="C164" i="7"/>
  <c r="C38" i="7"/>
  <c r="C120" i="7"/>
  <c r="C76" i="7"/>
  <c r="C239" i="7"/>
  <c r="C173" i="7"/>
  <c r="C166" i="7"/>
  <c r="C267" i="7"/>
  <c r="C75" i="7"/>
  <c r="C198" i="7"/>
  <c r="C24" i="7"/>
  <c r="C240" i="7"/>
  <c r="C113" i="7"/>
  <c r="C58" i="7"/>
  <c r="C67" i="7"/>
  <c r="C235" i="7"/>
  <c r="C131" i="7"/>
  <c r="C23" i="7"/>
  <c r="C264" i="7"/>
  <c r="C221" i="7"/>
  <c r="C155" i="7"/>
  <c r="C40" i="7"/>
  <c r="C43" i="7"/>
  <c r="C260" i="7"/>
  <c r="C211" i="7"/>
  <c r="C149" i="7"/>
  <c r="C137" i="7"/>
  <c r="C118" i="7"/>
  <c r="C33" i="7"/>
  <c r="C85" i="7"/>
  <c r="C72" i="7"/>
  <c r="C186" i="7"/>
  <c r="C249" i="7"/>
  <c r="C138" i="7"/>
  <c r="C263" i="7"/>
  <c r="C160" i="7"/>
  <c r="C26" i="7"/>
  <c r="C7" i="7"/>
  <c r="C74" i="7"/>
  <c r="C63" i="7"/>
  <c r="C13" i="7"/>
  <c r="C56" i="7"/>
  <c r="C192" i="7"/>
  <c r="C208" i="7"/>
  <c r="C121" i="7"/>
  <c r="C39" i="7"/>
  <c r="C215" i="7"/>
  <c r="C245" i="7"/>
  <c r="C219" i="7"/>
  <c r="C226" i="7"/>
  <c r="C65" i="7"/>
  <c r="C126" i="7"/>
  <c r="C115" i="7"/>
  <c r="C218" i="7"/>
  <c r="C104" i="7"/>
  <c r="C157" i="7"/>
  <c r="C229" i="7"/>
  <c r="C90" i="7"/>
  <c r="C167" i="7"/>
  <c r="C80" i="7"/>
  <c r="C94" i="7"/>
  <c r="C175" i="7"/>
  <c r="C89" i="7"/>
  <c r="C237" i="7"/>
  <c r="C184" i="7"/>
  <c r="C145" i="7"/>
  <c r="C8" i="7"/>
  <c r="C202" i="7"/>
  <c r="C206" i="7"/>
  <c r="C246" i="7"/>
  <c r="C78" i="7"/>
  <c r="C146" i="7"/>
  <c r="C190" i="7"/>
  <c r="C159" i="7"/>
  <c r="C151" i="7"/>
  <c r="C57" i="7"/>
  <c r="C96" i="7"/>
  <c r="C224" i="7"/>
  <c r="C259" i="7"/>
  <c r="C182" i="7"/>
  <c r="C125" i="7"/>
  <c r="C261" i="7"/>
  <c r="C124" i="7"/>
  <c r="C110" i="7"/>
  <c r="C91" i="7"/>
  <c r="C199" i="7"/>
  <c r="C52" i="7"/>
  <c r="C236" i="7"/>
  <c r="C207" i="7"/>
  <c r="C257" i="7"/>
  <c r="C83" i="7"/>
  <c r="C106" i="7"/>
  <c r="C197" i="7"/>
  <c r="C244" i="7"/>
  <c r="C178" i="7"/>
  <c r="C256" i="7"/>
  <c r="C269" i="7"/>
  <c r="C188" i="7"/>
  <c r="C128" i="7"/>
  <c r="C232" i="7"/>
  <c r="C243" i="7"/>
  <c r="C103" i="7"/>
  <c r="C35" i="7"/>
  <c r="C44" i="7"/>
  <c r="C31" i="7"/>
  <c r="C93" i="7"/>
  <c r="C88" i="7"/>
  <c r="C119" i="7"/>
  <c r="C82" i="7"/>
  <c r="C220" i="7"/>
  <c r="C116" i="7"/>
  <c r="C262" i="7"/>
  <c r="C139" i="7"/>
  <c r="C29" i="7"/>
  <c r="C133" i="7"/>
  <c r="C144" i="7"/>
  <c r="C134" i="7"/>
  <c r="C212" i="7"/>
  <c r="C73" i="7"/>
  <c r="C10" i="7"/>
  <c r="C86" i="7"/>
  <c r="C71" i="7"/>
  <c r="C62" i="7"/>
  <c r="C154" i="7"/>
  <c r="C205" i="7"/>
  <c r="C148" i="7"/>
  <c r="C225" i="7"/>
  <c r="C81" i="7"/>
  <c r="C59" i="7"/>
  <c r="C25" i="7"/>
  <c r="C101" i="7"/>
  <c r="C36" i="7"/>
  <c r="C228" i="7"/>
  <c r="C129" i="7"/>
  <c r="C123" i="7"/>
  <c r="C152" i="7"/>
  <c r="C266" i="7"/>
  <c r="C252" i="7"/>
  <c r="C69" i="7"/>
  <c r="C209" i="7"/>
  <c r="C60" i="7"/>
  <c r="C179" i="7"/>
  <c r="C181" i="7"/>
  <c r="C196" i="7"/>
  <c r="C161" i="7"/>
  <c r="C251" i="7"/>
  <c r="C53" i="7"/>
  <c r="C27" i="7"/>
  <c r="C108" i="7"/>
  <c r="C54" i="7"/>
  <c r="C147" i="7"/>
  <c r="C187" i="7"/>
  <c r="C142" i="7"/>
  <c r="C114" i="7"/>
  <c r="C150" i="7"/>
  <c r="C216" i="7"/>
  <c r="C169" i="7"/>
  <c r="C203" i="7"/>
  <c r="C253" i="7"/>
  <c r="C140" i="7"/>
  <c r="C227" i="7"/>
  <c r="C77" i="7"/>
  <c r="C204" i="7"/>
  <c r="C12" i="7"/>
  <c r="C183" i="7"/>
  <c r="C248" i="7"/>
  <c r="C127" i="7"/>
  <c r="C37" i="7"/>
  <c r="C122" i="7"/>
  <c r="C64" i="7"/>
  <c r="C153" i="7"/>
  <c r="C6" i="7"/>
  <c r="C258" i="7"/>
  <c r="C254" i="7"/>
  <c r="C19" i="7"/>
  <c r="C165" i="7"/>
  <c r="C265" i="7"/>
  <c r="G230" i="7"/>
  <c r="G48" i="7"/>
  <c r="G95" i="7"/>
  <c r="G34" i="7"/>
  <c r="G171" i="7"/>
  <c r="G222" i="7"/>
  <c r="G51" i="7"/>
  <c r="G32" i="7"/>
  <c r="G15" i="7"/>
  <c r="G66" i="7"/>
  <c r="G30" i="7"/>
  <c r="G46" i="7"/>
  <c r="G156" i="7"/>
  <c r="G84" i="7"/>
  <c r="G42" i="7"/>
  <c r="G68" i="7"/>
  <c r="G14" i="7"/>
  <c r="G97" i="7"/>
  <c r="G214" i="7"/>
  <c r="G11" i="7"/>
  <c r="G109" i="7"/>
  <c r="G4" i="7"/>
  <c r="G168" i="7"/>
  <c r="G234" i="7"/>
  <c r="G18" i="7"/>
  <c r="G107" i="7"/>
  <c r="G55" i="7"/>
  <c r="G111" i="7"/>
  <c r="G20" i="7"/>
  <c r="G180" i="7"/>
  <c r="G16" i="7"/>
  <c r="G102" i="7"/>
  <c r="G9" i="7"/>
  <c r="G268" i="7"/>
  <c r="G135" i="7"/>
  <c r="G241" i="7"/>
  <c r="G143" i="7"/>
  <c r="G79" i="7"/>
  <c r="G238" i="7"/>
  <c r="G193" i="7"/>
  <c r="G28" i="7"/>
  <c r="G247" i="7"/>
  <c r="G70" i="7"/>
  <c r="G100" i="7"/>
  <c r="G98" i="7"/>
  <c r="G141" i="7"/>
  <c r="G177" i="7"/>
  <c r="G223" i="7"/>
  <c r="G136" i="7"/>
  <c r="G130" i="7"/>
  <c r="G158" i="7"/>
  <c r="G22" i="7"/>
  <c r="G50" i="7"/>
  <c r="G117" i="7"/>
  <c r="G250" i="7"/>
  <c r="G200" i="7"/>
  <c r="G163" i="7"/>
  <c r="G170" i="7"/>
  <c r="G185" i="7"/>
  <c r="G5" i="7"/>
  <c r="G213" i="7"/>
  <c r="G231" i="7"/>
  <c r="G99" i="7"/>
  <c r="G176" i="7"/>
  <c r="G17" i="7"/>
  <c r="G162" i="7"/>
  <c r="G45" i="7"/>
  <c r="G201" i="7"/>
  <c r="G217" i="7"/>
  <c r="G21" i="7"/>
  <c r="G41" i="7"/>
  <c r="G195" i="7"/>
  <c r="G189" i="7"/>
  <c r="G242" i="7"/>
  <c r="G92" i="7"/>
  <c r="G87" i="7"/>
  <c r="G61" i="7"/>
  <c r="G255" i="7"/>
  <c r="G210" i="7"/>
  <c r="G174" i="7"/>
  <c r="G132" i="7"/>
  <c r="G49" i="7"/>
  <c r="G191" i="7"/>
  <c r="G112" i="7"/>
  <c r="G194" i="7"/>
  <c r="G233" i="7"/>
  <c r="G105" i="7"/>
  <c r="G47" i="7"/>
  <c r="G172" i="7"/>
  <c r="G164" i="7"/>
  <c r="G38" i="7"/>
  <c r="G120" i="7"/>
  <c r="G76" i="7"/>
  <c r="G239" i="7"/>
  <c r="G173" i="7"/>
  <c r="G166" i="7"/>
  <c r="G267" i="7"/>
  <c r="G75" i="7"/>
  <c r="G198" i="7"/>
  <c r="G24" i="7"/>
  <c r="G240" i="7"/>
  <c r="G113" i="7"/>
  <c r="G58" i="7"/>
  <c r="G67" i="7"/>
  <c r="G235" i="7"/>
  <c r="G131" i="7"/>
  <c r="G23" i="7"/>
  <c r="G264" i="7"/>
  <c r="G221" i="7"/>
  <c r="G155" i="7"/>
  <c r="G40" i="7"/>
  <c r="G43" i="7"/>
  <c r="G260" i="7"/>
  <c r="G211" i="7"/>
  <c r="G149" i="7"/>
  <c r="G137" i="7"/>
  <c r="G118" i="7"/>
  <c r="G33" i="7"/>
  <c r="G85" i="7"/>
  <c r="E51" i="2" s="1"/>
  <c r="G72" i="7"/>
  <c r="G186" i="7"/>
  <c r="G249" i="7"/>
  <c r="G138" i="7"/>
  <c r="G263" i="7"/>
  <c r="G160" i="7"/>
  <c r="G26" i="7"/>
  <c r="G7" i="7"/>
  <c r="G74" i="7"/>
  <c r="G63" i="7"/>
  <c r="G13" i="7"/>
  <c r="G56" i="7"/>
  <c r="G192" i="7"/>
  <c r="G208" i="7"/>
  <c r="G121" i="7"/>
  <c r="G39" i="7"/>
  <c r="G215" i="7"/>
  <c r="G245" i="7"/>
  <c r="G219" i="7"/>
  <c r="G226" i="7"/>
  <c r="G65" i="7"/>
  <c r="G126" i="7"/>
  <c r="G115" i="7"/>
  <c r="G218" i="7"/>
  <c r="G104" i="7"/>
  <c r="G157" i="7"/>
  <c r="G229" i="7"/>
  <c r="G90" i="7"/>
  <c r="G167" i="7"/>
  <c r="G80" i="7"/>
  <c r="G94" i="7"/>
  <c r="G175" i="7"/>
  <c r="G89" i="7"/>
  <c r="G237" i="7"/>
  <c r="G184" i="7"/>
  <c r="G145" i="7"/>
  <c r="G8" i="7"/>
  <c r="G202" i="7"/>
  <c r="G206" i="7"/>
  <c r="G246" i="7"/>
  <c r="G78" i="7"/>
  <c r="G146" i="7"/>
  <c r="G190" i="7"/>
  <c r="G159" i="7"/>
  <c r="G151" i="7"/>
  <c r="G57" i="7"/>
  <c r="G96" i="7"/>
  <c r="G224" i="7"/>
  <c r="G259" i="7"/>
  <c r="G182" i="7"/>
  <c r="G125" i="7"/>
  <c r="G261" i="7"/>
  <c r="G124" i="7"/>
  <c r="G110" i="7"/>
  <c r="G91" i="7"/>
  <c r="G199" i="7"/>
  <c r="G52" i="7"/>
  <c r="G236" i="7"/>
  <c r="G207" i="7"/>
  <c r="G257" i="7"/>
  <c r="G83" i="7"/>
  <c r="G106" i="7"/>
  <c r="G197" i="7"/>
  <c r="G244" i="7"/>
  <c r="G178" i="7"/>
  <c r="G256" i="7"/>
  <c r="G269" i="7"/>
  <c r="G188" i="7"/>
  <c r="G128" i="7"/>
  <c r="G232" i="7"/>
  <c r="G243" i="7"/>
  <c r="G103" i="7"/>
  <c r="G35" i="7"/>
  <c r="G44" i="7"/>
  <c r="G31" i="7"/>
  <c r="G93" i="7"/>
  <c r="G88" i="7"/>
  <c r="G119" i="7"/>
  <c r="G82" i="7"/>
  <c r="G220" i="7"/>
  <c r="G116" i="7"/>
  <c r="G262" i="7"/>
  <c r="G139" i="7"/>
  <c r="G29" i="7"/>
  <c r="G133" i="7"/>
  <c r="G144" i="7"/>
  <c r="G134" i="7"/>
  <c r="G212" i="7"/>
  <c r="G73" i="7"/>
  <c r="G10" i="7"/>
  <c r="G86" i="7"/>
  <c r="G71" i="7"/>
  <c r="G62" i="7"/>
  <c r="G154" i="7"/>
  <c r="G205" i="7"/>
  <c r="G148" i="7"/>
  <c r="G225" i="7"/>
  <c r="G81" i="7"/>
  <c r="G59" i="7"/>
  <c r="G25" i="7"/>
  <c r="G101" i="7"/>
  <c r="G36" i="7"/>
  <c r="G228" i="7"/>
  <c r="G129" i="7"/>
  <c r="G123" i="7"/>
  <c r="G152" i="7"/>
  <c r="G266" i="7"/>
  <c r="G252" i="7"/>
  <c r="G69" i="7"/>
  <c r="G209" i="7"/>
  <c r="G60" i="7"/>
  <c r="G179" i="7"/>
  <c r="G181" i="7"/>
  <c r="G196" i="7"/>
  <c r="G161" i="7"/>
  <c r="G251" i="7"/>
  <c r="G53" i="7"/>
  <c r="G27" i="7"/>
  <c r="G108" i="7"/>
  <c r="G54" i="7"/>
  <c r="G147" i="7"/>
  <c r="G187" i="7"/>
  <c r="G142" i="7"/>
  <c r="G114" i="7"/>
  <c r="G150" i="7"/>
  <c r="G216" i="7"/>
  <c r="G169" i="7"/>
  <c r="G203" i="7"/>
  <c r="G253" i="7"/>
  <c r="G140" i="7"/>
  <c r="G227" i="7"/>
  <c r="G77" i="7"/>
  <c r="G204" i="7"/>
  <c r="G12" i="7"/>
  <c r="G183" i="7"/>
  <c r="G248" i="7"/>
  <c r="G127" i="7"/>
  <c r="G37" i="7"/>
  <c r="G122" i="7"/>
  <c r="G64" i="7"/>
  <c r="G153" i="7"/>
  <c r="G6" i="7"/>
  <c r="G258" i="7"/>
  <c r="G254" i="7"/>
  <c r="G19" i="7"/>
  <c r="G165" i="7"/>
  <c r="G265" i="7"/>
  <c r="C2" i="7"/>
  <c r="G2" i="7"/>
  <c r="E48" i="2" s="1"/>
  <c r="E52" i="2"/>
  <c r="D52" i="2"/>
  <c r="D51" i="2"/>
  <c r="D50" i="2"/>
  <c r="D39" i="2"/>
  <c r="B15" i="2"/>
  <c r="D15" i="2" s="1"/>
  <c r="B37" i="2"/>
  <c r="B38" i="2"/>
  <c r="B40" i="2"/>
  <c r="B41" i="2"/>
  <c r="B42" i="2"/>
  <c r="B43" i="2"/>
  <c r="B44" i="2"/>
  <c r="B45" i="2"/>
  <c r="B46" i="2"/>
  <c r="B7" i="2"/>
  <c r="D7" i="2" s="1"/>
  <c r="B12" i="2"/>
  <c r="D12" i="2" s="1"/>
  <c r="B14" i="2"/>
  <c r="D14" i="2" s="1"/>
  <c r="B8" i="2"/>
  <c r="B9" i="2"/>
  <c r="B10" i="2"/>
  <c r="B11" i="2"/>
  <c r="B13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6" i="2"/>
  <c r="F122" i="7" s="1"/>
  <c r="B3" i="2"/>
  <c r="B2" i="2"/>
  <c r="F171" i="7" s="1"/>
  <c r="F142" i="7" l="1"/>
  <c r="F128" i="7"/>
  <c r="F19" i="7"/>
  <c r="F69" i="7"/>
  <c r="F133" i="7"/>
  <c r="F269" i="7"/>
  <c r="F190" i="7"/>
  <c r="F254" i="7"/>
  <c r="F77" i="7"/>
  <c r="F54" i="7"/>
  <c r="F196" i="7"/>
  <c r="F252" i="7"/>
  <c r="F36" i="7"/>
  <c r="F148" i="7"/>
  <c r="F10" i="7"/>
  <c r="F29" i="7"/>
  <c r="F119" i="7"/>
  <c r="F103" i="7"/>
  <c r="F257" i="7"/>
  <c r="F110" i="7"/>
  <c r="F146" i="7"/>
  <c r="F80" i="7"/>
  <c r="F160" i="7"/>
  <c r="F147" i="7"/>
  <c r="F127" i="7"/>
  <c r="F150" i="7"/>
  <c r="F108" i="7"/>
  <c r="F266" i="7"/>
  <c r="F205" i="7"/>
  <c r="F139" i="7"/>
  <c r="F243" i="7"/>
  <c r="F178" i="7"/>
  <c r="F207" i="7"/>
  <c r="F124" i="7"/>
  <c r="F96" i="7"/>
  <c r="F78" i="7"/>
  <c r="F167" i="7"/>
  <c r="F115" i="7"/>
  <c r="F215" i="7"/>
  <c r="F13" i="7"/>
  <c r="F263" i="7"/>
  <c r="F33" i="7"/>
  <c r="F43" i="7"/>
  <c r="F131" i="7"/>
  <c r="F24" i="7"/>
  <c r="F239" i="7"/>
  <c r="F47" i="7"/>
  <c r="F49" i="7"/>
  <c r="F87" i="7"/>
  <c r="F21" i="7"/>
  <c r="F176" i="7"/>
  <c r="F170" i="7"/>
  <c r="F22" i="7"/>
  <c r="F141" i="7"/>
  <c r="F193" i="7"/>
  <c r="F268" i="7"/>
  <c r="F111" i="7"/>
  <c r="F4" i="7"/>
  <c r="F68" i="7"/>
  <c r="F66" i="7"/>
  <c r="F34" i="7"/>
  <c r="F183" i="7"/>
  <c r="F161" i="7"/>
  <c r="F86" i="7"/>
  <c r="F83" i="7"/>
  <c r="F8" i="7"/>
  <c r="F258" i="7"/>
  <c r="F227" i="7"/>
  <c r="F181" i="7"/>
  <c r="F101" i="7"/>
  <c r="F73" i="7"/>
  <c r="F88" i="7"/>
  <c r="F184" i="7"/>
  <c r="F2" i="7"/>
  <c r="F153" i="7"/>
  <c r="F59" i="7"/>
  <c r="F152" i="7"/>
  <c r="F25" i="7"/>
  <c r="F154" i="7"/>
  <c r="F212" i="7"/>
  <c r="F93" i="7"/>
  <c r="F232" i="7"/>
  <c r="F57" i="7"/>
  <c r="F237" i="7"/>
  <c r="F126" i="7"/>
  <c r="F63" i="7"/>
  <c r="F138" i="7"/>
  <c r="F40" i="7"/>
  <c r="F198" i="7"/>
  <c r="F105" i="7"/>
  <c r="F132" i="7"/>
  <c r="F217" i="7"/>
  <c r="F99" i="7"/>
  <c r="F163" i="7"/>
  <c r="F158" i="7"/>
  <c r="F98" i="7"/>
  <c r="F9" i="7"/>
  <c r="F55" i="7"/>
  <c r="F109" i="7"/>
  <c r="F42" i="7"/>
  <c r="F15" i="7"/>
  <c r="F95" i="7"/>
  <c r="F60" i="7"/>
  <c r="F197" i="7"/>
  <c r="F6" i="7"/>
  <c r="F248" i="7"/>
  <c r="F140" i="7"/>
  <c r="F114" i="7"/>
  <c r="F27" i="7"/>
  <c r="F179" i="7"/>
  <c r="F262" i="7"/>
  <c r="F244" i="7"/>
  <c r="F236" i="7"/>
  <c r="F261" i="7"/>
  <c r="F246" i="7"/>
  <c r="F90" i="7"/>
  <c r="F39" i="7"/>
  <c r="F118" i="7"/>
  <c r="F235" i="7"/>
  <c r="F76" i="7"/>
  <c r="F92" i="7"/>
  <c r="F238" i="7"/>
  <c r="E40" i="2"/>
  <c r="F48" i="7"/>
  <c r="F265" i="7"/>
  <c r="F53" i="7"/>
  <c r="F116" i="7"/>
  <c r="F31" i="7"/>
  <c r="F125" i="7"/>
  <c r="F151" i="7"/>
  <c r="F206" i="7"/>
  <c r="F89" i="7"/>
  <c r="F229" i="7"/>
  <c r="F65" i="7"/>
  <c r="F121" i="7"/>
  <c r="F74" i="7"/>
  <c r="F249" i="7"/>
  <c r="F137" i="7"/>
  <c r="F155" i="7"/>
  <c r="F67" i="7"/>
  <c r="F75" i="7"/>
  <c r="F120" i="7"/>
  <c r="F233" i="7"/>
  <c r="F174" i="7"/>
  <c r="F242" i="7"/>
  <c r="F201" i="7"/>
  <c r="F231" i="7"/>
  <c r="F200" i="7"/>
  <c r="F130" i="7"/>
  <c r="F100" i="7"/>
  <c r="F79" i="7"/>
  <c r="F102" i="7"/>
  <c r="F107" i="7"/>
  <c r="F11" i="7"/>
  <c r="F84" i="7"/>
  <c r="F32" i="7"/>
  <c r="F134" i="7"/>
  <c r="F52" i="7"/>
  <c r="F220" i="7"/>
  <c r="F44" i="7"/>
  <c r="F188" i="7"/>
  <c r="F106" i="7"/>
  <c r="F199" i="7"/>
  <c r="F182" i="7"/>
  <c r="F159" i="7"/>
  <c r="F202" i="7"/>
  <c r="F175" i="7"/>
  <c r="F157" i="7"/>
  <c r="F226" i="7"/>
  <c r="F208" i="7"/>
  <c r="F7" i="7"/>
  <c r="F186" i="7"/>
  <c r="F149" i="7"/>
  <c r="F221" i="7"/>
  <c r="F58" i="7"/>
  <c r="F267" i="7"/>
  <c r="F38" i="7"/>
  <c r="F194" i="7"/>
  <c r="F210" i="7"/>
  <c r="F189" i="7"/>
  <c r="F45" i="7"/>
  <c r="F213" i="7"/>
  <c r="F250" i="7"/>
  <c r="F136" i="7"/>
  <c r="F70" i="7"/>
  <c r="F143" i="7"/>
  <c r="F16" i="7"/>
  <c r="F18" i="7"/>
  <c r="F214" i="7"/>
  <c r="F156" i="7"/>
  <c r="F51" i="7"/>
  <c r="F230" i="7"/>
  <c r="F165" i="7"/>
  <c r="F64" i="7"/>
  <c r="F12" i="7"/>
  <c r="F203" i="7"/>
  <c r="F187" i="7"/>
  <c r="F251" i="7"/>
  <c r="F209" i="7"/>
  <c r="F129" i="7"/>
  <c r="F81" i="7"/>
  <c r="F71" i="7"/>
  <c r="F144" i="7"/>
  <c r="E10" i="2"/>
  <c r="F123" i="7"/>
  <c r="F204" i="7"/>
  <c r="F228" i="7"/>
  <c r="F35" i="7"/>
  <c r="F166" i="7"/>
  <c r="F164" i="7"/>
  <c r="F112" i="7"/>
  <c r="F255" i="7"/>
  <c r="F195" i="7"/>
  <c r="F162" i="7"/>
  <c r="F5" i="7"/>
  <c r="F117" i="7"/>
  <c r="F223" i="7"/>
  <c r="F247" i="7"/>
  <c r="F241" i="7"/>
  <c r="F180" i="7"/>
  <c r="F234" i="7"/>
  <c r="F97" i="7"/>
  <c r="F46" i="7"/>
  <c r="F222" i="7"/>
  <c r="F253" i="7"/>
  <c r="F62" i="7"/>
  <c r="F169" i="7"/>
  <c r="F225" i="7"/>
  <c r="F82" i="7"/>
  <c r="F91" i="7"/>
  <c r="F259" i="7"/>
  <c r="F94" i="7"/>
  <c r="F104" i="7"/>
  <c r="F219" i="7"/>
  <c r="F192" i="7"/>
  <c r="F26" i="7"/>
  <c r="F72" i="7"/>
  <c r="F211" i="7"/>
  <c r="F264" i="7"/>
  <c r="F113" i="7"/>
  <c r="F37" i="7"/>
  <c r="F216" i="7"/>
  <c r="F256" i="7"/>
  <c r="F224" i="7"/>
  <c r="F145" i="7"/>
  <c r="F218" i="7"/>
  <c r="F245" i="7"/>
  <c r="F56" i="7"/>
  <c r="F85" i="7"/>
  <c r="F260" i="7"/>
  <c r="F23" i="7"/>
  <c r="F240" i="7"/>
  <c r="F173" i="7"/>
  <c r="F172" i="7"/>
  <c r="F191" i="7"/>
  <c r="F61" i="7"/>
  <c r="F41" i="7"/>
  <c r="F17" i="7"/>
  <c r="F185" i="7"/>
  <c r="F50" i="7"/>
  <c r="F177" i="7"/>
  <c r="F28" i="7"/>
  <c r="F135" i="7"/>
  <c r="F20" i="7"/>
  <c r="F168" i="7"/>
  <c r="F14" i="7"/>
  <c r="F30" i="7"/>
  <c r="E45" i="2"/>
  <c r="D16" i="2"/>
  <c r="D32" i="2"/>
  <c r="D41" i="2"/>
  <c r="D30" i="2"/>
  <c r="D2" i="2"/>
  <c r="D11" i="2"/>
  <c r="D25" i="2"/>
  <c r="D37" i="2"/>
  <c r="D6" i="2"/>
  <c r="D33" i="2"/>
  <c r="D34" i="2"/>
  <c r="D26" i="2"/>
  <c r="D24" i="2"/>
  <c r="D23" i="2"/>
  <c r="D28" i="2"/>
  <c r="D38" i="2"/>
  <c r="D10" i="2"/>
  <c r="D29" i="2"/>
  <c r="D31" i="2"/>
  <c r="D22" i="2"/>
  <c r="D35" i="2"/>
  <c r="D9" i="2"/>
  <c r="D21" i="2"/>
  <c r="D27" i="2"/>
  <c r="D46" i="2"/>
  <c r="D8" i="2"/>
  <c r="D20" i="2"/>
  <c r="D45" i="2"/>
  <c r="D19" i="2"/>
  <c r="D44" i="2"/>
  <c r="D43" i="2"/>
  <c r="D17" i="2"/>
  <c r="D40" i="2"/>
  <c r="D42" i="2"/>
  <c r="D3" i="2"/>
  <c r="D13" i="2"/>
  <c r="E15" i="2" l="1"/>
  <c r="E12" i="2"/>
  <c r="E24" i="2"/>
  <c r="E22" i="2"/>
  <c r="D18" i="2"/>
  <c r="E9" i="2" l="1"/>
  <c r="E31" i="2" l="1"/>
  <c r="E6" i="2"/>
  <c r="E32" i="2"/>
  <c r="E13" i="2"/>
  <c r="E16" i="2"/>
  <c r="E17" i="2"/>
  <c r="E23" i="2"/>
  <c r="E38" i="2"/>
  <c r="E28" i="2"/>
  <c r="E26" i="2"/>
  <c r="E25" i="2"/>
  <c r="E21" i="2"/>
  <c r="E44" i="2"/>
  <c r="E30" i="2"/>
  <c r="E27" i="2"/>
  <c r="E37" i="2"/>
  <c r="E18" i="2"/>
  <c r="E7" i="2" l="1"/>
  <c r="E14" i="2"/>
  <c r="E11" i="2" l="1"/>
  <c r="E35" i="2"/>
  <c r="E19" i="2"/>
  <c r="E20" i="2"/>
  <c r="E29" i="2"/>
  <c r="E43" i="2"/>
  <c r="E33" i="2"/>
  <c r="E34" i="2"/>
  <c r="E2" i="2"/>
  <c r="E46" i="2"/>
  <c r="E41" i="2" l="1"/>
  <c r="E50" i="2"/>
  <c r="E8" i="2" l="1"/>
  <c r="E3" i="2"/>
  <c r="E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2547A-A098-4661-ACEB-692446DE9C91}" keepAlive="1" name="Consulta - Table001 (Page 1-36)" description="Conexão com a consulta 'Table001 (Page 1-36)' na pasta de trabalho." type="5" refreshedVersion="8" background="1" saveData="1">
    <dbPr connection="Provider=Microsoft.Mashup.OleDb.1;Data Source=$Workbook$;Location=&quot;Table001 (Page 1-36)&quot;;Extended Properties=&quot;&quot;" command="SELECT * FROM [Table001 (Page 1-36)]"/>
  </connection>
</connections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<sst xmlns="http://schemas.openxmlformats.org/spreadsheetml/2006/main" count="2012" uniqueCount="456">
  <si>
    <t>ADAEL RAMOS SILVA PAIVA</t>
  </si>
  <si>
    <t>ADAIL BALBINO DO SACRAMENTO</t>
  </si>
  <si>
    <t>ADAILTON DOS SANTOS OLIVEIRA</t>
  </si>
  <si>
    <t>ADINALDO DA SILVA E SILVA</t>
  </si>
  <si>
    <t>AIRTON MACHADO COSTA JUNIOR</t>
  </si>
  <si>
    <t>ALDEIR CARDOSO DA SILVA</t>
  </si>
  <si>
    <t>ALEANDRA TRINDADE SOUSA</t>
  </si>
  <si>
    <t>ANDERSON DE CASTRO FRANCA</t>
  </si>
  <si>
    <t>ANDRE HENRIQUE ALMEIDA SANTOS</t>
  </si>
  <si>
    <t>ANDREILDE CONCEICAO MOURA</t>
  </si>
  <si>
    <t>ANDRESSA SOUSA DE OLIVEIRA</t>
  </si>
  <si>
    <t>ANGEL JOSE RUIZ RODRIGUEZ</t>
  </si>
  <si>
    <t>ANNA KELRY OLIVEIRA AGUIAR LOPES</t>
  </si>
  <si>
    <t>ANTONIO CARLOS ALVES DOS SANTOS</t>
  </si>
  <si>
    <t>ANTONIO FRANCISCO NASCIMENTO COSTA</t>
  </si>
  <si>
    <t>ANTONIO JOSE DIAS DE SOUSA</t>
  </si>
  <si>
    <t>ARIANE DE FRANCA SILVA</t>
  </si>
  <si>
    <t>ARTHUR ISAQUE RODRIGUES TELES</t>
  </si>
  <si>
    <t>BRUNO DA SILVA ROCHA</t>
  </si>
  <si>
    <t>BRUNO OLIVEIRA SOUSA CARNEIRO</t>
  </si>
  <si>
    <t>BRUNO PEREIRA GOMES</t>
  </si>
  <si>
    <t>BRUNO SILVA GOMES</t>
  </si>
  <si>
    <t>BRUNO SILVEIRA LIMA</t>
  </si>
  <si>
    <t>CAIO HENRIQUE DA SILVA PEREIRA</t>
  </si>
  <si>
    <t>CAMILA FREITAS LOPES</t>
  </si>
  <si>
    <t>CARLA RAYLLANE DOURADO VIEIRA</t>
  </si>
  <si>
    <t>CARLIENE DOURADO RODRIGUES</t>
  </si>
  <si>
    <t>CARLOS ALBERTO GOMES DANTAS</t>
  </si>
  <si>
    <t>CARLOS ALBERTO SANTOS DA SILVA FILHO</t>
  </si>
  <si>
    <t>CARLOS EDUARDO LEMOS ASSIS OLIVEIRA</t>
  </si>
  <si>
    <t>CARLOS MESQUITA NASCIMENTO</t>
  </si>
  <si>
    <t>CEZAR LUIZ DE SOUZA</t>
  </si>
  <si>
    <t>CHRISTAL THAIS BARBOSA DA ROSA</t>
  </si>
  <si>
    <t>CLAUDIMAR PEREIRA DA SILVA</t>
  </si>
  <si>
    <t>CLEBER VIEIRA DA SILVA</t>
  </si>
  <si>
    <t>CLEITON BATISTA SIDNEI</t>
  </si>
  <si>
    <t>CLERISTON ALVES NUNES</t>
  </si>
  <si>
    <t>DANIEL PEREIRA DA SILVA</t>
  </si>
  <si>
    <t>DANIELLY SANTANA DE OLIVEIRA</t>
  </si>
  <si>
    <t>DAVI SOUZA MOREIRA</t>
  </si>
  <si>
    <t>DEBORA OLIVEIRA DE JESUS</t>
  </si>
  <si>
    <t>DEYFISON CARLOS SANTOS SILVA</t>
  </si>
  <si>
    <t>DIONE OLIVEIRA DOS SANTOS</t>
  </si>
  <si>
    <t>DOUGLAS LIMA DA SILVA JUNIOR</t>
  </si>
  <si>
    <t>EDMUNDO ROCHA DE OLIVEIRA</t>
  </si>
  <si>
    <t>EDVAN DA COSTA SILVA</t>
  </si>
  <si>
    <t>ELAINE DOS SANTOS E SANTOS</t>
  </si>
  <si>
    <t>ELEILSON FERNANDES DA SILVA</t>
  </si>
  <si>
    <t>ELIEL NUNES DE MORAES</t>
  </si>
  <si>
    <t>ELIEL TOMAS GOMES</t>
  </si>
  <si>
    <t>ELIELSON DA CRUZ PINTO</t>
  </si>
  <si>
    <t>ELIMILSON DOS SANTOS GATINHO</t>
  </si>
  <si>
    <t>ELISBERTO DA SILVA PINHEIRO</t>
  </si>
  <si>
    <t>ELOISO DOS SANTOS SILVA</t>
  </si>
  <si>
    <t>EUGENIO CONCEICAO VIEIRA</t>
  </si>
  <si>
    <t>EUZENIR SOUSA DE OLIVEIRA</t>
  </si>
  <si>
    <t>EVAIR CAMPOS MARTINS</t>
  </si>
  <si>
    <t>EVISSON PINTO DOURADO</t>
  </si>
  <si>
    <t>FELIPE MARQUES PEREIRA CAMPOS</t>
  </si>
  <si>
    <t>FERNANDO BASTOS MORAES</t>
  </si>
  <si>
    <t>FERNANDO PEREIRA DE MORAIS</t>
  </si>
  <si>
    <t>FLAVIA OLIVEIRA DA SILVA</t>
  </si>
  <si>
    <t>FRANCINETE SOUSA BARBOSA DINIZ</t>
  </si>
  <si>
    <t>FRANCISCA VALMIZA RODRIGUES CARNEIRO</t>
  </si>
  <si>
    <t>FRANCISCO BRAZ SOUSA</t>
  </si>
  <si>
    <t>FRANCISCO DAS CHAGAS DE SOUSA</t>
  </si>
  <si>
    <t>FRANCISCO DAS CHAGAS DIAS BRITO</t>
  </si>
  <si>
    <t>FRANCISCO FELICIO NETO</t>
  </si>
  <si>
    <t>FRANCISCO JOSE DE SOUZA</t>
  </si>
  <si>
    <t>FURTUOSO PEREIRA BARROS FILHO</t>
  </si>
  <si>
    <t>GABRIEL FEITOSA MIRANDA</t>
  </si>
  <si>
    <t>GABRIEL SANTOS DE OLIVEIRA</t>
  </si>
  <si>
    <t>GABRIELA DE SOUSA BEZERRA</t>
  </si>
  <si>
    <t>GECILON ALVES BARBOSA</t>
  </si>
  <si>
    <t>GESSICA CONCEIÇÃO DE SOUZA</t>
  </si>
  <si>
    <t>GLAISON PEREIRA LOPES</t>
  </si>
  <si>
    <t>GLEISON LUIZ DOS SANTOS</t>
  </si>
  <si>
    <t>GRAZIELLE ANDRADE DOS SANTOS</t>
  </si>
  <si>
    <t>IGOR GABRIEL RODRIGUES DE OLIVEIRA</t>
  </si>
  <si>
    <t>IRANILSON DIAS BARBOSA</t>
  </si>
  <si>
    <t>ISRAEL ALVES DOS SANTOS</t>
  </si>
  <si>
    <t>JACKELINE FERREIRA DA SILVA</t>
  </si>
  <si>
    <t>JAILTON DO CARMO BRITO</t>
  </si>
  <si>
    <t>JAIRO ALVES DA SILVA</t>
  </si>
  <si>
    <t>JALISSON SILVA DE SOUSA</t>
  </si>
  <si>
    <t>JANDIRA VIEIRA MOTA</t>
  </si>
  <si>
    <t>JAQUELINE RAIARA BENTES PONTES</t>
  </si>
  <si>
    <t>JEAN GOMES DE ALMEIDA</t>
  </si>
  <si>
    <t>JHIONATAN SILVA FERREIRA</t>
  </si>
  <si>
    <t>JOANNE LARISSA SILVA DOS SANTOS</t>
  </si>
  <si>
    <t>JOAO ALLISON DE LIRA MONTEIRO</t>
  </si>
  <si>
    <t>JOAO ANTONIO CATARINO DOS SANTOS</t>
  </si>
  <si>
    <t>JOAO BELEM DE AZEVEDO</t>
  </si>
  <si>
    <t>JOEDNA FERREIRA DE ALMEIDA RIBEIRO</t>
  </si>
  <si>
    <t>JOILDA LACERDA ARAUJO</t>
  </si>
  <si>
    <t>JONATAS DE JESUS SOBRAL</t>
  </si>
  <si>
    <t>JORGE DOS SANTOS FERREIRA FILHO</t>
  </si>
  <si>
    <t>JOSE DA SILVA SANTOS</t>
  </si>
  <si>
    <t>JOSE FRANCISCO LIMA MEDEIROS</t>
  </si>
  <si>
    <t>JOSE RONILDO DA SILVA NEGREIRO</t>
  </si>
  <si>
    <t>JOSIVALDO FREITAS FEITOSA</t>
  </si>
  <si>
    <t>JOSIVALDO PEREIRA DE MORAIS</t>
  </si>
  <si>
    <t>JOSUE DOS SANTOS SOUSA</t>
  </si>
  <si>
    <t>JOSUE RODRIGUES DE SOUSA</t>
  </si>
  <si>
    <t>JUCIVAN BRITO DE OLIVEIRA</t>
  </si>
  <si>
    <t>JULIANO CAMPOS COSTA</t>
  </si>
  <si>
    <t>JUNIOR DOS SANTOS</t>
  </si>
  <si>
    <t>KASSIO CARVALHO DA SILVA</t>
  </si>
  <si>
    <t>KAUAN DA SILVA COUTINHO</t>
  </si>
  <si>
    <t>KELVY SALES BARBOSA</t>
  </si>
  <si>
    <t>KLEBSON LIMA CARVALHO</t>
  </si>
  <si>
    <t>LEANDRO SILVA MONTEIRO</t>
  </si>
  <si>
    <t>LEILA RAQUEL PINTO COSTA</t>
  </si>
  <si>
    <t>LEILIENE DO BOM PARTO SOUSA COSTA</t>
  </si>
  <si>
    <t>LEOMIR AQUINO DE ARAUJO</t>
  </si>
  <si>
    <t>LUAN DA SILVA SANTANA</t>
  </si>
  <si>
    <t>LUANA BRITO DE JESUS</t>
  </si>
  <si>
    <t>LUCAS DOS ANJOS SILVA</t>
  </si>
  <si>
    <t>LUCAS NUNES DA SILVA</t>
  </si>
  <si>
    <t>LUCAS PEREIRA DOS SANTOS</t>
  </si>
  <si>
    <t>LUCELIA BARBOSA ARAUJO</t>
  </si>
  <si>
    <t>LUCIANA DOS SANTOS</t>
  </si>
  <si>
    <t>LUCIANE RIBEIRO DA SILVA</t>
  </si>
  <si>
    <t>LUCIANO ALBUQUERQUE RIPARDO</t>
  </si>
  <si>
    <t>LUCIANO DE FRANCA SILVA</t>
  </si>
  <si>
    <t>LUIS ENRIQUE BETANCOURT CASTILLO</t>
  </si>
  <si>
    <t>LUIZ ANTONIO MARTINS DA SILVA</t>
  </si>
  <si>
    <t>LUIZ CARLOS RODRIGUES DA CONCEICAO</t>
  </si>
  <si>
    <t>MAIKON CARDOSO DA COSTA</t>
  </si>
  <si>
    <t>MAILSON DOS ANJOS SANTOS</t>
  </si>
  <si>
    <t>MARCELINO ROCHA DE OLIVEIRA</t>
  </si>
  <si>
    <t>MARCELO RAMADA DE JESUS</t>
  </si>
  <si>
    <t>MARCELO VILELA DA SILVA</t>
  </si>
  <si>
    <t>MARCIA TRINDADE MENDONCA</t>
  </si>
  <si>
    <t>MARCIEL NASCIMENTO DA SILVA</t>
  </si>
  <si>
    <t>MARCONI BARBOSA CORREIA</t>
  </si>
  <si>
    <t>MARCOS GABRIEL OLIVEIRA DA SILVA</t>
  </si>
  <si>
    <t>MARCOS GLEISON LEAL MARTINS</t>
  </si>
  <si>
    <t>MARCOS RODRIGUES DA SILVA</t>
  </si>
  <si>
    <t>MARIA EDUARDA SILVA AIRES</t>
  </si>
  <si>
    <t>MATEUS EVANGELISTA DOS SANTOS</t>
  </si>
  <si>
    <t>MATHEUS MACIEL CASTRO</t>
  </si>
  <si>
    <t>MAYCON GONCALVES DE OLIVEIRA</t>
  </si>
  <si>
    <t>MICHELE DOS SANTOS PINHEIRO OLIVEIRA</t>
  </si>
  <si>
    <t>MICHELLE FARIAS DE SOUSA</t>
  </si>
  <si>
    <t>NATALIA OLIVEIRA BISPO</t>
  </si>
  <si>
    <t>NILTON CESAR NONATO SOUSA</t>
  </si>
  <si>
    <t>PEDRO CARVALHO DOS SANTOS</t>
  </si>
  <si>
    <t>RAIDAN DE SOUZA PEREIRA</t>
  </si>
  <si>
    <t>RAILANE DE FRANCA SILVA</t>
  </si>
  <si>
    <t>RAIMUNDO ABEDIAS DA SILVA</t>
  </si>
  <si>
    <t>RAIMUNDO GOMES DE BRITO</t>
  </si>
  <si>
    <t>RAQUEL CUNHA DOS SANTOS</t>
  </si>
  <si>
    <t>REGINALDO SOARES DA SILVA</t>
  </si>
  <si>
    <t>REINAN RODRIGUES DA SILVA</t>
  </si>
  <si>
    <t>RENIVAN ALMEIDA DE ANDRADE</t>
  </si>
  <si>
    <t>ROMARIO COELHO RAMOS</t>
  </si>
  <si>
    <t>RONI FERREIRA DA SILVA</t>
  </si>
  <si>
    <t>ROSEANE OLIVEIRA DOS SANTOS</t>
  </si>
  <si>
    <t>SATILO VIEIRA SANTOS</t>
  </si>
  <si>
    <t>SEBASTIAO KAYKY SILVA OLIVEIRA</t>
  </si>
  <si>
    <t>SIMONE LIMA DE SOUSA SANTOS</t>
  </si>
  <si>
    <t>SINVALDO LEMES RIBEIRO</t>
  </si>
  <si>
    <t>SUZANE TEIXEIRA DE OLIVEIRA</t>
  </si>
  <si>
    <t>TAINA MEDEIROS RIBEIRO</t>
  </si>
  <si>
    <t>TALITA DA SILVA OLIVEIRA</t>
  </si>
  <si>
    <t>TAYNARA PEREIRA DE ALMEIDA</t>
  </si>
  <si>
    <t>TEVALDO DA SILVA SANTOS</t>
  </si>
  <si>
    <t>THIAGO DE SOUZA VASCONCELOS</t>
  </si>
  <si>
    <t>THIFFANY MARIA LIMA</t>
  </si>
  <si>
    <t>VALDUIRES XAVIER DA SILVA</t>
  </si>
  <si>
    <t>VALMIR CAMPOS SOUSA FILHO</t>
  </si>
  <si>
    <t>VICTOR BRUNNO DE DEUS FREITAS</t>
  </si>
  <si>
    <t>VICTORIA DE SOUSA BEZERRA</t>
  </si>
  <si>
    <t>VILTERLENE SILVA CUTRIM</t>
  </si>
  <si>
    <t>WALLS CRUZ DE ARAUJO SILVA</t>
  </si>
  <si>
    <t>WALTER PEREIRA DOS SANTOS</t>
  </si>
  <si>
    <t>WARLEN ALVES DOURADO</t>
  </si>
  <si>
    <t>WEBERT JOSE DA SILVA</t>
  </si>
  <si>
    <t>WESLEY HENRIQUE FERREIRA DE OLIVEIRA</t>
  </si>
  <si>
    <t>WILLIAN DA SILVA ALENCAR</t>
  </si>
  <si>
    <t>WUILLIAMS RAFAEL FIGUEROA REQUENA</t>
  </si>
  <si>
    <t>YAGO RODRIGUES DA SILVA</t>
  </si>
  <si>
    <t>YENNYS ADRIANA TORRES DE RAMOS</t>
  </si>
  <si>
    <t>ANTONIO EDILSON SOARES</t>
  </si>
  <si>
    <t>MATRICULA</t>
  </si>
  <si>
    <t>NOME</t>
  </si>
  <si>
    <t>TIPO</t>
  </si>
  <si>
    <t>ABASTECEDOR</t>
  </si>
  <si>
    <t>EMPILHADOR</t>
  </si>
  <si>
    <t>MESA</t>
  </si>
  <si>
    <t>RECEBIMENTO</t>
  </si>
  <si>
    <t>SETOR</t>
  </si>
  <si>
    <t>JOAO PEDRO MATIAS DA SILVA</t>
  </si>
  <si>
    <t>ATANAEL GOMES SILVA</t>
  </si>
  <si>
    <t>JOEL LEAL BATISTA NETO</t>
  </si>
  <si>
    <t>JOSE ASSIS DA SILVA</t>
  </si>
  <si>
    <t>JONAS REIS GOMES</t>
  </si>
  <si>
    <t>NAILTON CONCEIÇAO BORGES</t>
  </si>
  <si>
    <t>MARIO NEI COUGO CARRION</t>
  </si>
  <si>
    <t>DIOGO DOS SANTOS OLIVEIRA</t>
  </si>
  <si>
    <t>TESTE PRATICO 2</t>
  </si>
  <si>
    <t>TESTE PRATICO 4</t>
  </si>
  <si>
    <t>TESTE PRATICO 5</t>
  </si>
  <si>
    <t>TESTE PRATICO 6</t>
  </si>
  <si>
    <t>TESTE PRATICO 7</t>
  </si>
  <si>
    <t>TESTE PRATICO 8</t>
  </si>
  <si>
    <t>TESTE PRATICO 10</t>
  </si>
  <si>
    <t>RODRIGO REIS SILVA</t>
  </si>
  <si>
    <t>JULIO CESAR OLIVEIRA DE ARAGAO</t>
  </si>
  <si>
    <t>JOCILENE DE JESUS ROCHA</t>
  </si>
  <si>
    <t>HELIO LIMA DA SILVA JUNIOR</t>
  </si>
  <si>
    <t>LUCIANO TEODORO NOGUEIRA</t>
  </si>
  <si>
    <t>RAFAEL SANTOS BRUGNARI</t>
  </si>
  <si>
    <t>RAFAEL DAS NEVES VASCONCELOS</t>
  </si>
  <si>
    <t>TESTE PRATICO 9</t>
  </si>
  <si>
    <t>RODRIGO DE JESUS</t>
  </si>
  <si>
    <t>ALBERT CARDOSO DE SOUZA</t>
  </si>
  <si>
    <t>ANTONIO MARCOS SOUSA DA PURIFICACAO</t>
  </si>
  <si>
    <t>DEBORA SILVA DE OLIVEIRA</t>
  </si>
  <si>
    <t>JOAO CARLOS RIBEIRO</t>
  </si>
  <si>
    <t>GABRIEL DA SILVA SOUZA</t>
  </si>
  <si>
    <t>ERICKLYS WILLIAN RIBAS ROMERO PETRY</t>
  </si>
  <si>
    <t>FRANCISCO RAMOS DA SILVA</t>
  </si>
  <si>
    <t>SANDRA BISPO DA SILVA</t>
  </si>
  <si>
    <t>INGRITE GRACIELA S. TEIXEIRA OLIVEIRA</t>
  </si>
  <si>
    <t>LUIZ AUGUSTO SANTOS PERO</t>
  </si>
  <si>
    <t>ALEXANDRE MOURA DE FREITAS</t>
  </si>
  <si>
    <t>LUIS VINICIUS DO ESPIRITO SANTO REIS</t>
  </si>
  <si>
    <t>RUDA AZAMBUJA SANTOS SOBRINHO</t>
  </si>
  <si>
    <t>VIVIANE DOS SANTOS SILVA MARQUES</t>
  </si>
  <si>
    <t>ADNOELSON SILVA DOS SANTOS</t>
  </si>
  <si>
    <t>AIALA OLIVEIRA DA HORA</t>
  </si>
  <si>
    <t>ERICA FREITAS DA SILVA</t>
  </si>
  <si>
    <t>HALEA MARIA OLIVEIRA DA SILVA</t>
  </si>
  <si>
    <t>JUREMA RAYANA DIAS DO NASCIMENTO SANTOS</t>
  </si>
  <si>
    <t>UELTON DOS SANTOS ENCARNAÇAO</t>
  </si>
  <si>
    <t>EVERTON ARAUJO SANTANA</t>
  </si>
  <si>
    <t>EDUARDO FELIPE DE ALMEIDA FARIAS</t>
  </si>
  <si>
    <t>MARCELO DOS SANTOS BATISTA</t>
  </si>
  <si>
    <t>LUIS CARLOS SOUSA ALVES</t>
  </si>
  <si>
    <t>ERIQUE FREITAS DA SILVA</t>
  </si>
  <si>
    <t>RENNER ALVES DA CONCEIÇAO</t>
  </si>
  <si>
    <t>ELIZEU PEREIRA DOS REIS</t>
  </si>
  <si>
    <t>IVANILDO DA CONCEIÇAO</t>
  </si>
  <si>
    <t>ADRIANO MENDONÇA LEMES</t>
  </si>
  <si>
    <t>ERISON SEGOVIA VILLA</t>
  </si>
  <si>
    <t>MARIANE FERREIRA DOS SANTOS</t>
  </si>
  <si>
    <t>KAIO DE ALMEIDA MORAES</t>
  </si>
  <si>
    <t>TESTE PRATICO 1</t>
  </si>
  <si>
    <t>TESTE PRATICO 3</t>
  </si>
  <si>
    <t>ROGERIO GONCALVES DOS SANTOS</t>
  </si>
  <si>
    <t>LUZIANA ANGÉLICA DE LIMA</t>
  </si>
  <si>
    <t>ORIVALDO DE SOUZA</t>
  </si>
  <si>
    <t>MARIONY PEREIRA PINTO</t>
  </si>
  <si>
    <t>VALDEILSON DA SILVA FELIX</t>
  </si>
  <si>
    <t>LUIS ANTONIO SOARES VIEGAS</t>
  </si>
  <si>
    <t>JANAINA SOUSA PAIXAO</t>
  </si>
  <si>
    <t>MAYCON DOS SANTOS DO NASCIMENTO</t>
  </si>
  <si>
    <t>MILENA DOS SANTOS NUNES</t>
  </si>
  <si>
    <t>FERNANDA LUCIANA NAZARE LEAO</t>
  </si>
  <si>
    <t>EMANUELL MELO SILVA</t>
  </si>
  <si>
    <t>RODRIGO SILVA DE SANTANA</t>
  </si>
  <si>
    <t>VERONICE DIAS DOS SANTOS</t>
  </si>
  <si>
    <t>ELIANE MARTINS DOS SANTOS</t>
  </si>
  <si>
    <t>TAMIRES DE SOUSA ALVES</t>
  </si>
  <si>
    <t>PAULO GABRIEL MACHADO DE OLIVEIRA</t>
  </si>
  <si>
    <t>ANTONIO CARLOS FELICIO FILHO</t>
  </si>
  <si>
    <t>ELIZANGELA OLIVEIRA SANTANA</t>
  </si>
  <si>
    <t>JONIVALDO PINTO FREITAS</t>
  </si>
  <si>
    <t>EDNAELTON KACIO DE OLIVEIRA SILVA</t>
  </si>
  <si>
    <t>WILLIAN BASTOS DA COSTA</t>
  </si>
  <si>
    <t>KLEBER JUNIO DE LIMA</t>
  </si>
  <si>
    <t>KETILYN XAVIER GOMES</t>
  </si>
  <si>
    <t>FABRICIO DOS SANTOS DE OLIVEIRA</t>
  </si>
  <si>
    <t>VALERIA BEZERRA DA SILVA</t>
  </si>
  <si>
    <t>CRYSTOFFER LIMA DE MORAIS</t>
  </si>
  <si>
    <t>ANTONIA FRANÇA NASCIMENTO CAMPOS</t>
  </si>
  <si>
    <t>JOAO ALVES CAVALCANTE NETO</t>
  </si>
  <si>
    <t>JOAO PAULO DE SOUSA SANTOS</t>
  </si>
  <si>
    <t>MARCIO SIVA DA SILVA</t>
  </si>
  <si>
    <t>CARLOS EDUARDO FERREIRA DOS SANTOS</t>
  </si>
  <si>
    <t>JOSIAS DA SILVA OLIVEIRA</t>
  </si>
  <si>
    <t>TURNO</t>
  </si>
  <si>
    <t>EQUIPE</t>
  </si>
  <si>
    <t>IVANETE PEREIRA DA SILVA</t>
  </si>
  <si>
    <t>YOHANNA DEL CARMEN PARRAGA CARIAMANA</t>
  </si>
  <si>
    <t>AUX.OP. LOGISTICA III</t>
  </si>
  <si>
    <t>CONFERENTE</t>
  </si>
  <si>
    <t>CONFERENTE II</t>
  </si>
  <si>
    <t>FATURISTA</t>
  </si>
  <si>
    <t>MANOBRISTA</t>
  </si>
  <si>
    <t>HENRIQUE SANTOS FERNANDES</t>
  </si>
  <si>
    <t>MOV. MERCADORIA I</t>
  </si>
  <si>
    <t>EGILVAN RIBEIRO DOS SANTOS</t>
  </si>
  <si>
    <t>FRANCISCO NAILTON VIEIRA DA SILVA</t>
  </si>
  <si>
    <t>WATILLA PEREIRA DE CARVALHO ROBAINA</t>
  </si>
  <si>
    <t>JOSIVAN DA SILVA FERREIRA</t>
  </si>
  <si>
    <t>JHONATHAN CICERO VIEIRA ALENCAR</t>
  </si>
  <si>
    <t>MICHELE VICENTE GONCALVES</t>
  </si>
  <si>
    <t>LEONARDO FERREIRA DE SOUSA</t>
  </si>
  <si>
    <t>JOSE FEITOSA DA SILVA DOS SANTOS</t>
  </si>
  <si>
    <t>THAYSON TEIXEIRA GOMES</t>
  </si>
  <si>
    <t>TAISSA DA SILVA MELO</t>
  </si>
  <si>
    <t>IZAQUE COSTA QUEIROZ</t>
  </si>
  <si>
    <t>KELIANE DE CARVALHO SOUSA FERREIRA</t>
  </si>
  <si>
    <t>LAYANNE TEODORO DE SOUZA</t>
  </si>
  <si>
    <t>PEDRO HENRIQUE SANTOS PORTO</t>
  </si>
  <si>
    <t>AGUINALDO RAMOS DOS SANTOS</t>
  </si>
  <si>
    <t>JOSE GREGORIO VILLARROEL BETANCOURT</t>
  </si>
  <si>
    <t>NICOLE VALENTINA CONTRERAS FINOL</t>
  </si>
  <si>
    <t>LUIS GUSTAVO QUENUPE BERTHOLDO</t>
  </si>
  <si>
    <t>FAUSTO ALVES DO CARMO</t>
  </si>
  <si>
    <t>CARLOS RONAN LEAO DA SILVA</t>
  </si>
  <si>
    <t>MARLENE MOIZES DE ABREU</t>
  </si>
  <si>
    <t>DANIELE AIRES MOREIRA</t>
  </si>
  <si>
    <t>JOSENILDO MACIEL DA CRUZ</t>
  </si>
  <si>
    <t>ANDRIELE COSTA DE SA</t>
  </si>
  <si>
    <t>ROGERIO BRANDAO MONTEIRO</t>
  </si>
  <si>
    <t>EMILLY DA SILVA ALMEIDA</t>
  </si>
  <si>
    <t>MARLENE MONTEIRO DE SOUSA</t>
  </si>
  <si>
    <t>JOAO VICTOR LIMA SILVA</t>
  </si>
  <si>
    <t>PEDRO ENRIQUE OLIVEIRA BARBOSA SILVA</t>
  </si>
  <si>
    <t>MOV. MERCADORIA II</t>
  </si>
  <si>
    <t>FABIANO LIMA DE OLIVEIRA</t>
  </si>
  <si>
    <t>SERVICOS GERAIS</t>
  </si>
  <si>
    <t>GENILZA BATISTA COSTA</t>
  </si>
  <si>
    <t>SERVICOS GERAIS I</t>
  </si>
  <si>
    <t>RENATA REIS OLIVEIRA</t>
  </si>
  <si>
    <t>Chapa</t>
  </si>
  <si>
    <t>Nome</t>
  </si>
  <si>
    <t>Nome Funcão</t>
  </si>
  <si>
    <t>Descrição Seção</t>
  </si>
  <si>
    <t>OP. EMPILHADEIRA III</t>
  </si>
  <si>
    <t>EQUIPE D</t>
  </si>
  <si>
    <t>EQUIPE C</t>
  </si>
  <si>
    <t>EQUIPE A3</t>
  </si>
  <si>
    <t>FLOW RACK NOITE</t>
  </si>
  <si>
    <t>EQUIPE B</t>
  </si>
  <si>
    <t>AUX.OP. LOGISTICA IV</t>
  </si>
  <si>
    <t>SUPORTE CD DIA</t>
  </si>
  <si>
    <t>EQUIPE A1</t>
  </si>
  <si>
    <t>ANTONIA FRANCA NASCIMENTO CAMPOS</t>
  </si>
  <si>
    <t>FLOW RACK DIA</t>
  </si>
  <si>
    <t>EQUIPE A2</t>
  </si>
  <si>
    <t>ASSISTENTE DE OPERACOES LOGISTICA</t>
  </si>
  <si>
    <t>OP. EMPILHADEIRA IV</t>
  </si>
  <si>
    <t>EQUIPE A4</t>
  </si>
  <si>
    <t>SUPORTE CD NOITE</t>
  </si>
  <si>
    <t>ASSISTENTE OPERACOES LOGISTICA III</t>
  </si>
  <si>
    <t>EQUIPE PCL</t>
  </si>
  <si>
    <t>OP. TRANSPALETEIRA</t>
  </si>
  <si>
    <t>SUPERVISOR(A) DE OPERACOES</t>
  </si>
  <si>
    <t>FATURISTA I</t>
  </si>
  <si>
    <t>AUX.OP. LOGISTICA II</t>
  </si>
  <si>
    <t>FRANCISCO JOSE DE SOUZA SOBRINHO</t>
  </si>
  <si>
    <t>GESSICA CONCEICAO DE SOUZA</t>
  </si>
  <si>
    <t>AUX.OP. LOGISTICA I</t>
  </si>
  <si>
    <t>OP. EMPILHADEIRA I</t>
  </si>
  <si>
    <t>LUZIANA ANGELICA DE LIMA TEIXEIRA</t>
  </si>
  <si>
    <t>MARCIO SILVA DA SILVA</t>
  </si>
  <si>
    <t>MICHELE DOS SANTOS PINHEIRO</t>
  </si>
  <si>
    <t>OP. EMPILHADEIRA II</t>
  </si>
  <si>
    <t>TIPO_ABST</t>
  </si>
  <si>
    <t>NAME_PY</t>
  </si>
  <si>
    <t>CHAPA</t>
  </si>
  <si>
    <t>A2</t>
  </si>
  <si>
    <t>AUX SERV GERAIS</t>
  </si>
  <si>
    <t>PCL-D</t>
  </si>
  <si>
    <t>AN</t>
  </si>
  <si>
    <t>AUX. OPER. LOGISTICAS</t>
  </si>
  <si>
    <t>D</t>
  </si>
  <si>
    <t>B</t>
  </si>
  <si>
    <t>A3</t>
  </si>
  <si>
    <t>AD</t>
  </si>
  <si>
    <t>A4</t>
  </si>
  <si>
    <t>PCL-N</t>
  </si>
  <si>
    <t>QP</t>
  </si>
  <si>
    <t>C</t>
  </si>
  <si>
    <t>ND</t>
  </si>
  <si>
    <t>A1</t>
  </si>
  <si>
    <t>ENC. OPERACIONAL</t>
  </si>
  <si>
    <t>FN</t>
  </si>
  <si>
    <t>MM ABASTECEDOR</t>
  </si>
  <si>
    <t>MOV. MERCADORIA</t>
  </si>
  <si>
    <t>PAULO SERGIO SILVA PAIM</t>
  </si>
  <si>
    <t>ANAILZA SOUZA PEREIRA</t>
  </si>
  <si>
    <t>JOSE RONALDO BACELAR DA SILVA</t>
  </si>
  <si>
    <t>ITAMAR GOMES E SILVA</t>
  </si>
  <si>
    <t>WASHINGTON RONALDO SILVA DA CRUZ</t>
  </si>
  <si>
    <t>JOAO MARCOS DE MELLO SANTOS DA SILVA</t>
  </si>
  <si>
    <t>ROBSON GARCIA CENTURIAO</t>
  </si>
  <si>
    <t>ANDRE CESAR BRITES ORTEGA</t>
  </si>
  <si>
    <t>JAVIER JOSE SAGARAY FUENTES</t>
  </si>
  <si>
    <t>GABRIEL NOGUEIRA</t>
  </si>
  <si>
    <t>FD</t>
  </si>
  <si>
    <t>ADRIANO DE SOUSA DA SILVA</t>
  </si>
  <si>
    <t>KAWAN SOARES MUNIZ</t>
  </si>
  <si>
    <t>FERNANDO FERREIRA NUNES</t>
  </si>
  <si>
    <t>ADAM ALEXANDRE MARTINS</t>
  </si>
  <si>
    <t>REGINALDO SILVA DA COSTA</t>
  </si>
  <si>
    <t>RONIELY MONTEIRO LOPES</t>
  </si>
  <si>
    <t>OP. DE EMPILHADEIRA</t>
  </si>
  <si>
    <t>OP. DE TRANSPALETEIRA</t>
  </si>
  <si>
    <t>OP. EMPILHADEIRA</t>
  </si>
  <si>
    <t>MATHEUS HENRIQUE MAZETI SANTOS</t>
  </si>
  <si>
    <t>MARIA DE LOURDES SEVERIANO DA SILVA</t>
  </si>
  <si>
    <t>ELIENE PORTO DOS SANTOS</t>
  </si>
  <si>
    <t>SUPERVISOR</t>
  </si>
  <si>
    <t>DIA</t>
  </si>
  <si>
    <t>NOITE</t>
  </si>
  <si>
    <t>LUIZ HENRIQUE DE OLIVEIRA TRANQUEIA</t>
  </si>
  <si>
    <t>ID_FUNC</t>
  </si>
  <si>
    <t>JOAO CARLOS GOMES DA SILVA</t>
  </si>
  <si>
    <t>APRENDIZ</t>
  </si>
  <si>
    <t>ALLYSON SANTOS LIMA</t>
  </si>
  <si>
    <t>ANSELMO SILVA MACHADO</t>
  </si>
  <si>
    <t>ITALO IRAGUACI CONCEICAO DA SILVA</t>
  </si>
  <si>
    <t>ANDRE VAGNER PEREIRA CORREIA</t>
  </si>
  <si>
    <t>EDUARDO CONSTANTINO DE ALMEIDA</t>
  </si>
  <si>
    <t>JACKSON GOMES BARBOSA</t>
  </si>
  <si>
    <t>MARCOS AURELIO PEREIRA DA SILVA</t>
  </si>
  <si>
    <t>GREGORY FERNANDO SOARES DA SILVA</t>
  </si>
  <si>
    <t>LUCAS RAFAEL DIAS COELHO</t>
  </si>
  <si>
    <t>NAYRON FRANCISCO MOREIRA BORGES</t>
  </si>
  <si>
    <t>GABRIEL MOREIRA SOUZA</t>
  </si>
  <si>
    <t>CAUA VIEIRA DA SILVA</t>
  </si>
  <si>
    <t>LEONARDO DE SOUSA FARIA</t>
  </si>
  <si>
    <t>JHONATHAS SOUZA OLIVEIRA</t>
  </si>
  <si>
    <t>ALEXANDRE DE JESUS GARCIA</t>
  </si>
  <si>
    <t>JUNIOR CELSO RAMOS DE SOUZA</t>
  </si>
  <si>
    <t>CLEITO MARTINS COSTA</t>
  </si>
  <si>
    <t>JULIO CESAR MARTINS PORTO</t>
  </si>
  <si>
    <t>NAYARA PEREIRA ROSA</t>
  </si>
  <si>
    <t>MARIA ADILA SOUZA PINHEIRO</t>
  </si>
  <si>
    <t>FABRICIO ROCHA PEREIRA</t>
  </si>
  <si>
    <t>VANELITO COELHO BARBOSA</t>
  </si>
  <si>
    <t>NADSON RODRIGUES DA SILVA</t>
  </si>
  <si>
    <t>FABIO HENRIQUE DA CONCEICAO SILVA</t>
  </si>
  <si>
    <t>JOAO PEREIRA DA SILVA</t>
  </si>
  <si>
    <t>PEDRO HENRIQUE LIMA DE JESUS SANTANA</t>
  </si>
  <si>
    <t>ROBSON JOSE DA SILVA MOURA</t>
  </si>
  <si>
    <t>LUCELIA FERREIRA VIANA</t>
  </si>
  <si>
    <t>MARIA ANGELICA SOARES DA SILVA</t>
  </si>
  <si>
    <t>GEOVANE PEREIRA DE BRITO</t>
  </si>
  <si>
    <t>KASSIANE SOUZA SEIXAS</t>
  </si>
  <si>
    <t>KLEYBER LOPES DA SILVA PAIVA</t>
  </si>
  <si>
    <t>IANK PHELLYPE CARDOSO PEREIRA</t>
  </si>
  <si>
    <t>ADAILSON FURTADO BRITO</t>
  </si>
  <si>
    <t>ANGELO DE JESUS PEREZ MARQUEZ</t>
  </si>
  <si>
    <t>JULIA MARA REZENDES DA SILVA</t>
  </si>
  <si>
    <t>JOSE CONCEICAO VICENTE</t>
  </si>
  <si>
    <t>CARLOS AUGUSTO MENDES DA SILVA</t>
  </si>
  <si>
    <t>ENC. DE OPERAÇÕES I</t>
  </si>
  <si>
    <t>AUX.OP. LOGISTICA V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</si>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</sst>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2" fillId="3" borderId="0" xfId="0" applyFont="1" applyFill="1"/>
    <xf numFmtId="0" fontId="0" fillId="0" borderId="1" xfId="0" applyBorder="1"/>
    <xf numFmtId="0" fontId="0" fillId="4" borderId="0" xfId="0" applyFill="1"/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23/09/relationships/Python" Target="pyth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221500-5AAB-478C-8062-F3A734CD19E0}" name="TB_ATIVOS" displayName="TB_ATIVOS" ref="A1:H269" totalsRowShown="0" headerRowDxfId="6">
  <autoFilter ref="A1:H269" xr:uid="{1A701E60-5000-413F-AF40-8B967E186826}"/>
  <sortState xmlns:xlrd2="http://schemas.microsoft.com/office/spreadsheetml/2017/richdata2" ref="A2:H269">
    <sortCondition ref="D1:D269"/>
  </sortState>
  <tableColumns count="8">
    <tableColumn id="1" xr3:uid="{B0A73D20-6F35-41D7-84AE-680925D9A179}" name="Chapa"/>
    <tableColumn id="2" xr3:uid="{647C4F5D-BCEC-4CE4-B7DE-EEFA4C405C8E}" name="Nome"/>
    <tableColumn id="3" xr3:uid="{D464E486-2904-4915-A95B-1164C199D41F}" name="NAME_PY">
      <calculatedColumnFormula>_xlfn.TEXTBEFORE(B2, " ") &amp; " " &amp; _xlfn.TEXTAFTER(B2, " ", -1)</calculatedColumnFormula>
    </tableColumn>
    <tableColumn id="4" xr3:uid="{3F31AD78-DF9B-4E9A-A854-EAEE41DEB587}" name="Nome Funcão"/>
    <tableColumn id="5" xr3:uid="{D6449911-41AB-4505-92DA-7D852AB0B7DA}" name="Descrição Seção"/>
    <tableColumn id="6" xr3:uid="{EDD3DF35-BF86-4451-B4E0-3839A6DED233}" name="TIPO_ABST" dataDxfId="5">
      <calculatedColumnFormula>IFERROR(_xlfn.XLOOKUP(B2,ABST!B:B,ABST!C:C,,0),"-")</calculatedColumnFormula>
    </tableColumn>
    <tableColumn id="7" xr3:uid="{1184B7F2-409D-4B1C-B8B8-562C54699665}" name="TURNO">
      <calculatedColumnFormula>_xlfn.XLOOKUP(E2,CD_EQUIPES!A:A,CD_EQUIPES!B:B,,0)</calculatedColumnFormula>
    </tableColumn>
    <tableColumn id="8" xr3:uid="{F348823A-BDCA-4BBC-9241-042373341569}" name="ID_FUNC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1E60-5000-413F-AF40-8B967E186826}">
  <sheetPr>
    <tabColor rgb="FF00B050"/>
  </sheetPr>
  <dimension ref="A1:H269"/>
  <sheetViews>
    <sheetView tabSelected="1" topLeftCell="B1" workbookViewId="0">
      <selection activeCell="G6" sqref="G6"/>
    </sheetView>
  </sheetViews>
  <sheetFormatPr defaultRowHeight="15" x14ac:dyDescent="0.25"/>
  <cols>
    <col min="1" max="1" width="8.5703125" customWidth="1"/>
    <col min="2" max="2" width="45" bestFit="1" customWidth="1"/>
    <col min="3" max="3" width="45" customWidth="1"/>
    <col min="4" max="4" width="35.42578125" bestFit="1" customWidth="1"/>
    <col min="5" max="5" width="18" bestFit="1" customWidth="1"/>
    <col min="6" max="6" width="13.85546875" bestFit="1" customWidth="1"/>
    <col min="7" max="7" width="14" bestFit="1" customWidth="1"/>
    <col min="8" max="8" width="11" bestFit="1" customWidth="1"/>
  </cols>
  <sheetData>
    <row r="1" spans="1:8" x14ac:dyDescent="0.25">
      <c r="A1" s="3" t="s">
        <v>329</v>
      </c>
      <c r="B1" s="3" t="s">
        <v>330</v>
      </c>
      <c r="C1" s="3" t="s">
        <v>364</v>
      </c>
      <c r="D1" s="3" t="s">
        <v>331</v>
      </c>
      <c r="E1" s="3" t="s">
        <v>332</v>
      </c>
      <c r="F1" s="3" t="s">
        <v>363</v>
      </c>
      <c r="G1" s="3" t="s">
        <v>283</v>
      </c>
      <c r="H1" s="3" t="s">
        <v>412</v>
      </c>
    </row>
    <row r="2" spans="1:8" x14ac:dyDescent="0.25">
      <c r="A2" s="6"/>
      <c r="B2" s="6" t="s">
        <v>411</v>
      </c>
      <c r="C2" s="6" t="str">
        <f>_xlfn.TEXTBEFORE(B2, " ") &amp; " " &amp; _xlfn.TEXTAFTER(B2, " ", -1)</f>
        <v>LUIZ TRANQUEIA</v>
      </c>
      <c r="D2" s="6" t="s">
        <v>414</v>
      </c>
      <c r="E2" s="6" t="s">
        <v>341</v>
      </c>
      <c r="F2" s="7" t="str">
        <f>IFERROR(_xlfn.XLOOKUP(B2,ABST!B:B,ABST!C:C,,0),"-")</f>
        <v>MESA</v>
      </c>
      <c r="G2" s="6" t="str">
        <f>_xlfn.XLOOKUP(E2,CD_EQUIPES!A:A,CD_EQUIPES!B:B,,0)</f>
        <v>DIA</v>
      </c>
      <c r="H2" s="6">
        <v>26082</v>
      </c>
    </row>
    <row r="3" spans="1:8" x14ac:dyDescent="0.25">
      <c r="A3" s="6">
        <v>1</v>
      </c>
      <c r="B3" s="6" t="s">
        <v>191</v>
      </c>
      <c r="C3" s="6" t="s">
        <v>191</v>
      </c>
      <c r="D3" s="6" t="s">
        <v>191</v>
      </c>
      <c r="E3" s="6" t="s">
        <v>191</v>
      </c>
      <c r="F3" s="7" t="str">
        <f>IFERROR(_xlfn.XLOOKUP(B3,ABST!B:B,ABST!C:C,,0),"-")</f>
        <v>RECEBIMENTO</v>
      </c>
      <c r="G3" s="6" t="s">
        <v>409</v>
      </c>
      <c r="H3" s="6">
        <v>1</v>
      </c>
    </row>
    <row r="4" spans="1:8" x14ac:dyDescent="0.25">
      <c r="A4">
        <v>7184</v>
      </c>
      <c r="B4" t="s">
        <v>17</v>
      </c>
      <c r="C4" t="str">
        <f>_xlfn.TEXTBEFORE(B4, " ") &amp; " " &amp; _xlfn.TEXTAFTER(B4, " ", -1)</f>
        <v>ARTHUR TELES</v>
      </c>
      <c r="D4" t="s">
        <v>345</v>
      </c>
      <c r="E4" t="s">
        <v>340</v>
      </c>
      <c r="F4" s="2" t="str">
        <f>IFERROR(_xlfn.XLOOKUP(B4,ABST!B:B,ABST!C:C,,0),"-")</f>
        <v>-</v>
      </c>
      <c r="G4" t="str">
        <f>_xlfn.XLOOKUP(E4,CD_EQUIPES!A:A,CD_EQUIPES!B:B,,0)</f>
        <v>DIA</v>
      </c>
      <c r="H4">
        <f>_xlfn.XLOOKUP(TB_ATIVOS[[#This Row],[Chapa]],'8573'!D:D,'8573'!A:A,,0)</f>
        <v>180815</v>
      </c>
    </row>
    <row r="5" spans="1:8" x14ac:dyDescent="0.25">
      <c r="A5">
        <v>6511</v>
      </c>
      <c r="B5" t="s">
        <v>47</v>
      </c>
      <c r="C5" t="str">
        <f>_xlfn.TEXTBEFORE(B5, " ") &amp; " " &amp; _xlfn.TEXTAFTER(B5, " ", -1)</f>
        <v>ELEILSON SILVA</v>
      </c>
      <c r="D5" t="s">
        <v>349</v>
      </c>
      <c r="E5" t="s">
        <v>341</v>
      </c>
      <c r="F5" s="2" t="str">
        <f>IFERROR(_xlfn.XLOOKUP(B5,ABST!B:B,ABST!C:C,,0),"-")</f>
        <v>MESA</v>
      </c>
      <c r="G5" t="str">
        <f>_xlfn.XLOOKUP(E5,CD_EQUIPES!A:A,CD_EQUIPES!B:B,,0)</f>
        <v>DIA</v>
      </c>
      <c r="H5">
        <f>_xlfn.XLOOKUP(TB_ATIVOS[[#This Row],[Chapa]],'8573'!D:D,'8573'!A:A,,0)</f>
        <v>180080</v>
      </c>
    </row>
    <row r="6" spans="1:8" x14ac:dyDescent="0.25">
      <c r="A6">
        <v>6556</v>
      </c>
      <c r="B6" t="s">
        <v>179</v>
      </c>
      <c r="C6" t="str">
        <f>_xlfn.TEXTBEFORE(B6, " ") &amp; " " &amp; _xlfn.TEXTAFTER(B6, " ", -1)</f>
        <v>WESLEY OLIVEIRA</v>
      </c>
      <c r="D6" t="s">
        <v>349</v>
      </c>
      <c r="E6" t="s">
        <v>350</v>
      </c>
      <c r="F6" s="2" t="str">
        <f>IFERROR(_xlfn.XLOOKUP(B6,ABST!B:B,ABST!C:C,,0),"-")</f>
        <v>-</v>
      </c>
      <c r="G6" t="str">
        <f>_xlfn.XLOOKUP(E6,CD_EQUIPES!A:A,CD_EQUIPES!B:B,,0)</f>
        <v>DIA</v>
      </c>
      <c r="H6">
        <f>_xlfn.XLOOKUP(TB_ATIVOS[[#This Row],[Chapa]],'8573'!D:D,'8573'!A:A,,0)</f>
        <v>180109</v>
      </c>
    </row>
    <row r="7" spans="1:8" x14ac:dyDescent="0.25">
      <c r="A7">
        <v>7674</v>
      </c>
      <c r="B7" t="s">
        <v>193</v>
      </c>
      <c r="C7" t="str">
        <f>_xlfn.TEXTBEFORE(B7, " ") &amp; " " &amp; _xlfn.TEXTAFTER(B7, " ", -1)</f>
        <v>JOAO SILVA</v>
      </c>
      <c r="D7" t="s">
        <v>357</v>
      </c>
      <c r="E7" t="s">
        <v>350</v>
      </c>
      <c r="F7" s="2" t="str">
        <f>IFERROR(_xlfn.XLOOKUP(B7,ABST!B:B,ABST!C:C,,0),"-")</f>
        <v>-</v>
      </c>
      <c r="G7" t="str">
        <f>_xlfn.XLOOKUP(E7,CD_EQUIPES!A:A,CD_EQUIPES!B:B,,0)</f>
        <v>DIA</v>
      </c>
      <c r="H7">
        <f>_xlfn.XLOOKUP(TB_ATIVOS[[#This Row],[Chapa]],'8573'!D:D,'8573'!A:A,,0)</f>
        <v>181048</v>
      </c>
    </row>
    <row r="8" spans="1:8" x14ac:dyDescent="0.25">
      <c r="A8">
        <v>7094</v>
      </c>
      <c r="B8" t="s">
        <v>109</v>
      </c>
      <c r="C8" t="str">
        <f>_xlfn.TEXTBEFORE(B8, " ") &amp; " " &amp; _xlfn.TEXTAFTER(B8, " ", -1)</f>
        <v>KELVY BARBOSA</v>
      </c>
      <c r="D8" t="s">
        <v>354</v>
      </c>
      <c r="E8" t="s">
        <v>347</v>
      </c>
      <c r="F8" s="2" t="str">
        <f>IFERROR(_xlfn.XLOOKUP(B8,ABST!B:B,ABST!C:C,,0),"-")</f>
        <v>MESA</v>
      </c>
      <c r="G8" t="str">
        <f>_xlfn.XLOOKUP(E8,CD_EQUIPES!A:A,CD_EQUIPES!B:B,,0)</f>
        <v>DIA</v>
      </c>
      <c r="H8">
        <f>_xlfn.XLOOKUP(TB_ATIVOS[[#This Row],[Chapa]],'8573'!D:D,'8573'!A:A,,0)</f>
        <v>180782</v>
      </c>
    </row>
    <row r="9" spans="1:8" x14ac:dyDescent="0.25">
      <c r="A9">
        <v>6538</v>
      </c>
      <c r="B9" t="s">
        <v>28</v>
      </c>
      <c r="C9" t="str">
        <f>_xlfn.TEXTBEFORE(B9, " ") &amp; " " &amp; _xlfn.TEXTAFTER(B9, " ", -1)</f>
        <v>CARLOS FILHO</v>
      </c>
      <c r="D9" t="s">
        <v>287</v>
      </c>
      <c r="E9" t="s">
        <v>336</v>
      </c>
      <c r="F9" s="2" t="str">
        <f>IFERROR(_xlfn.XLOOKUP(B9,ABST!B:B,ABST!C:C,,0),"-")</f>
        <v>MESA</v>
      </c>
      <c r="G9" t="str">
        <f>_xlfn.XLOOKUP(E9,CD_EQUIPES!A:A,CD_EQUIPES!B:B,,0)</f>
        <v>DIA</v>
      </c>
      <c r="H9">
        <f>_xlfn.XLOOKUP(TB_ATIVOS[[#This Row],[Chapa]],'8573'!D:D,'8573'!A:A,,0)</f>
        <v>180101</v>
      </c>
    </row>
    <row r="10" spans="1:8" x14ac:dyDescent="0.25">
      <c r="A10">
        <v>6503</v>
      </c>
      <c r="B10" t="s">
        <v>145</v>
      </c>
      <c r="C10" t="str">
        <f>_xlfn.TEXTBEFORE(B10, " ") &amp; " " &amp; _xlfn.TEXTAFTER(B10, " ", -1)</f>
        <v>NATALIA BISPO</v>
      </c>
      <c r="D10" t="s">
        <v>287</v>
      </c>
      <c r="E10" t="s">
        <v>350</v>
      </c>
      <c r="F10" s="2" t="str">
        <f>IFERROR(_xlfn.XLOOKUP(B10,ABST!B:B,ABST!C:C,,0),"-")</f>
        <v>-</v>
      </c>
      <c r="G10" t="str">
        <f>_xlfn.XLOOKUP(E10,CD_EQUIPES!A:A,CD_EQUIPES!B:B,,0)</f>
        <v>DIA</v>
      </c>
      <c r="H10">
        <f>_xlfn.XLOOKUP(TB_ATIVOS[[#This Row],[Chapa]],'8573'!D:D,'8573'!A:A,,0)</f>
        <v>180174</v>
      </c>
    </row>
    <row r="11" spans="1:8" x14ac:dyDescent="0.25">
      <c r="A11">
        <v>6741</v>
      </c>
      <c r="B11" t="s">
        <v>14</v>
      </c>
      <c r="C11" t="str">
        <f>_xlfn.TEXTBEFORE(B11, " ") &amp; " " &amp; _xlfn.TEXTAFTER(B11, " ", -1)</f>
        <v>ANTONIO COSTA</v>
      </c>
      <c r="D11" t="s">
        <v>287</v>
      </c>
      <c r="E11" t="s">
        <v>340</v>
      </c>
      <c r="F11" s="2" t="str">
        <f>IFERROR(_xlfn.XLOOKUP(B11,ABST!B:B,ABST!C:C,,0),"-")</f>
        <v>-</v>
      </c>
      <c r="G11" t="str">
        <f>_xlfn.XLOOKUP(E11,CD_EQUIPES!A:A,CD_EQUIPES!B:B,,0)</f>
        <v>DIA</v>
      </c>
      <c r="H11">
        <f>_xlfn.XLOOKUP(TB_ATIVOS[[#This Row],[Chapa]],'8573'!D:D,'8573'!A:A,,0)</f>
        <v>180193</v>
      </c>
    </row>
    <row r="12" spans="1:8" x14ac:dyDescent="0.25">
      <c r="A12">
        <v>7144</v>
      </c>
      <c r="B12" t="s">
        <v>172</v>
      </c>
      <c r="C12" t="str">
        <f>_xlfn.TEXTBEFORE(B12, " ") &amp; " " &amp; _xlfn.TEXTAFTER(B12, " ", -1)</f>
        <v>VICTOR FREITAS</v>
      </c>
      <c r="D12" t="s">
        <v>287</v>
      </c>
      <c r="E12" t="s">
        <v>340</v>
      </c>
      <c r="F12" s="2" t="str">
        <f>IFERROR(_xlfn.XLOOKUP(B12,ABST!B:B,ABST!C:C,,0),"-")</f>
        <v>-</v>
      </c>
      <c r="G12" t="str">
        <f>_xlfn.XLOOKUP(E12,CD_EQUIPES!A:A,CD_EQUIPES!B:B,,0)</f>
        <v>DIA</v>
      </c>
      <c r="H12">
        <f>_xlfn.XLOOKUP(TB_ATIVOS[[#This Row],[Chapa]],'8573'!D:D,'8573'!A:A,,0)</f>
        <v>180799</v>
      </c>
    </row>
    <row r="13" spans="1:8" x14ac:dyDescent="0.25">
      <c r="A13">
        <v>7265</v>
      </c>
      <c r="B13" t="s">
        <v>93</v>
      </c>
      <c r="C13" t="str">
        <f>_xlfn.TEXTBEFORE(B13, " ") &amp; " " &amp; _xlfn.TEXTAFTER(B13, " ", -1)</f>
        <v>JOEDNA RIBEIRO</v>
      </c>
      <c r="D13" t="s">
        <v>287</v>
      </c>
      <c r="E13" t="s">
        <v>347</v>
      </c>
      <c r="F13" s="2" t="str">
        <f>IFERROR(_xlfn.XLOOKUP(B13,ABST!B:B,ABST!C:C,,0),"-")</f>
        <v>MESA</v>
      </c>
      <c r="G13" t="str">
        <f>_xlfn.XLOOKUP(E13,CD_EQUIPES!A:A,CD_EQUIPES!B:B,,0)</f>
        <v>DIA</v>
      </c>
      <c r="H13">
        <f>_xlfn.XLOOKUP(TB_ATIVOS[[#This Row],[Chapa]],'8573'!D:D,'8573'!A:A,,0)</f>
        <v>180863</v>
      </c>
    </row>
    <row r="14" spans="1:8" x14ac:dyDescent="0.25">
      <c r="A14">
        <v>7246</v>
      </c>
      <c r="B14" t="s">
        <v>12</v>
      </c>
      <c r="C14" t="str">
        <f>_xlfn.TEXTBEFORE(B14, " ") &amp; " " &amp; _xlfn.TEXTAFTER(B14, " ", -1)</f>
        <v>ANNA LOPES</v>
      </c>
      <c r="D14" t="s">
        <v>287</v>
      </c>
      <c r="E14" t="s">
        <v>340</v>
      </c>
      <c r="F14" s="2" t="str">
        <f>IFERROR(_xlfn.XLOOKUP(B14,ABST!B:B,ABST!C:C,,0),"-")</f>
        <v>-</v>
      </c>
      <c r="G14" t="str">
        <f>_xlfn.XLOOKUP(E14,CD_EQUIPES!A:A,CD_EQUIPES!B:B,,0)</f>
        <v>DIA</v>
      </c>
      <c r="H14">
        <f>_xlfn.XLOOKUP(TB_ATIVOS[[#This Row],[Chapa]],'8573'!D:D,'8573'!A:A,,0)</f>
        <v>181246</v>
      </c>
    </row>
    <row r="15" spans="1:8" x14ac:dyDescent="0.25">
      <c r="A15">
        <v>6725</v>
      </c>
      <c r="B15" t="s">
        <v>6</v>
      </c>
      <c r="C15" t="str">
        <f>_xlfn.TEXTBEFORE(B15, " ") &amp; " " &amp; _xlfn.TEXTAFTER(B15, " ", -1)</f>
        <v>ALEANDRA SOUSA</v>
      </c>
      <c r="D15" t="s">
        <v>287</v>
      </c>
      <c r="E15" t="s">
        <v>337</v>
      </c>
      <c r="F15" s="2" t="str">
        <f>IFERROR(_xlfn.XLOOKUP(B15,ABST!B:B,ABST!C:C,,0),"-")</f>
        <v>MESA</v>
      </c>
      <c r="G15" t="str">
        <f>_xlfn.XLOOKUP(E15,CD_EQUIPES!A:A,CD_EQUIPES!B:B,,0)</f>
        <v>NOITE</v>
      </c>
      <c r="H15">
        <f>_xlfn.XLOOKUP(TB_ATIVOS[[#This Row],[Chapa]],'8573'!D:D,'8573'!A:A,,0)</f>
        <v>180185</v>
      </c>
    </row>
    <row r="16" spans="1:8" x14ac:dyDescent="0.25">
      <c r="A16">
        <v>6883</v>
      </c>
      <c r="B16" t="s">
        <v>26</v>
      </c>
      <c r="C16" t="str">
        <f>_xlfn.TEXTBEFORE(B16, " ") &amp; " " &amp; _xlfn.TEXTAFTER(B16, " ", -1)</f>
        <v>CARLIENE RODRIGUES</v>
      </c>
      <c r="D16" t="s">
        <v>287</v>
      </c>
      <c r="E16" t="s">
        <v>337</v>
      </c>
      <c r="F16" s="2" t="str">
        <f>IFERROR(_xlfn.XLOOKUP(B16,ABST!B:B,ABST!C:C,,0),"-")</f>
        <v>MESA</v>
      </c>
      <c r="G16" t="str">
        <f>_xlfn.XLOOKUP(E16,CD_EQUIPES!A:A,CD_EQUIPES!B:B,,0)</f>
        <v>NOITE</v>
      </c>
      <c r="H16">
        <f>_xlfn.XLOOKUP(TB_ATIVOS[[#This Row],[Chapa]],'8573'!D:D,'8573'!A:A,,0)</f>
        <v>180275</v>
      </c>
    </row>
    <row r="17" spans="1:8" x14ac:dyDescent="0.25">
      <c r="A17">
        <v>7381</v>
      </c>
      <c r="B17" t="s">
        <v>51</v>
      </c>
      <c r="C17" t="str">
        <f>_xlfn.TEXTBEFORE(B17, " ") &amp; " " &amp; _xlfn.TEXTAFTER(B17, " ", -1)</f>
        <v>ELIMILSON GATINHO</v>
      </c>
      <c r="D17" t="s">
        <v>287</v>
      </c>
      <c r="E17" t="s">
        <v>338</v>
      </c>
      <c r="F17" s="2" t="str">
        <f>IFERROR(_xlfn.XLOOKUP(B17,ABST!B:B,ABST!C:C,,0),"-")</f>
        <v>MESA</v>
      </c>
      <c r="G17" t="str">
        <f>_xlfn.XLOOKUP(E17,CD_EQUIPES!A:A,CD_EQUIPES!B:B,,0)</f>
        <v>NOITE</v>
      </c>
      <c r="H17">
        <f>_xlfn.XLOOKUP(TB_ATIVOS[[#This Row],[Chapa]],'8573'!D:D,'8573'!A:A,,0)</f>
        <v>180909</v>
      </c>
    </row>
    <row r="18" spans="1:8" x14ac:dyDescent="0.25">
      <c r="A18">
        <v>4394</v>
      </c>
      <c r="B18" t="s">
        <v>20</v>
      </c>
      <c r="C18" t="str">
        <f>_xlfn.TEXTBEFORE(B18, " ") &amp; " " &amp; _xlfn.TEXTAFTER(B18, " ", -1)</f>
        <v>BRUNO GOMES</v>
      </c>
      <c r="D18" t="s">
        <v>339</v>
      </c>
      <c r="E18" t="s">
        <v>348</v>
      </c>
      <c r="F18" s="2" t="str">
        <f>IFERROR(_xlfn.XLOOKUP(B18,ABST!B:B,ABST!C:C,,0),"-")</f>
        <v>-</v>
      </c>
      <c r="G18" t="str">
        <f>_xlfn.XLOOKUP(E18,CD_EQUIPES!A:A,CD_EQUIPES!B:B,,0)</f>
        <v>NOITE</v>
      </c>
      <c r="H18">
        <f>_xlfn.XLOOKUP(TB_ATIVOS[[#This Row],[Chapa]],'8573'!D:D,'8573'!A:A,,0)</f>
        <v>101065</v>
      </c>
    </row>
    <row r="19" spans="1:8" x14ac:dyDescent="0.25">
      <c r="A19">
        <v>5815</v>
      </c>
      <c r="B19" t="s">
        <v>182</v>
      </c>
      <c r="C19" t="str">
        <f>_xlfn.TEXTBEFORE(B19, " ") &amp; " " &amp; _xlfn.TEXTAFTER(B19, " ", -1)</f>
        <v>YAGO SILVA</v>
      </c>
      <c r="D19" t="s">
        <v>339</v>
      </c>
      <c r="E19" t="s">
        <v>334</v>
      </c>
      <c r="F19" s="2" t="str">
        <f>IFERROR(_xlfn.XLOOKUP(B19,ABST!B:B,ABST!C:C,,0),"-")</f>
        <v>MESA</v>
      </c>
      <c r="G19" t="str">
        <f>_xlfn.XLOOKUP(E19,CD_EQUIPES!A:A,CD_EQUIPES!B:B,,0)</f>
        <v>NOITE</v>
      </c>
      <c r="H19">
        <f>_xlfn.XLOOKUP(TB_ATIVOS[[#This Row],[Chapa]],'8573'!D:D,'8573'!A:A,,0)</f>
        <v>122537</v>
      </c>
    </row>
    <row r="20" spans="1:8" x14ac:dyDescent="0.25">
      <c r="A20">
        <v>7615</v>
      </c>
      <c r="B20" t="s">
        <v>24</v>
      </c>
      <c r="C20" t="str">
        <f>_xlfn.TEXTBEFORE(B20, " ") &amp; " " &amp; _xlfn.TEXTAFTER(B20, " ", -1)</f>
        <v>CAMILA LOPES</v>
      </c>
      <c r="D20" t="s">
        <v>454</v>
      </c>
      <c r="E20" t="s">
        <v>334</v>
      </c>
      <c r="F20" s="2" t="str">
        <f>IFERROR(_xlfn.XLOOKUP(B20,ABST!B:B,ABST!C:C,,0),"-")</f>
        <v>-</v>
      </c>
      <c r="G20" t="str">
        <f>_xlfn.XLOOKUP(E20,CD_EQUIPES!A:A,CD_EQUIPES!B:B,,0)</f>
        <v>NOITE</v>
      </c>
      <c r="H20">
        <f>_xlfn.XLOOKUP(TB_ATIVOS[[#This Row],[Chapa]],'8573'!D:D,'8573'!A:A,,0)</f>
        <v>181012</v>
      </c>
    </row>
    <row r="21" spans="1:8" x14ac:dyDescent="0.25">
      <c r="A21">
        <v>6149</v>
      </c>
      <c r="B21" t="s">
        <v>54</v>
      </c>
      <c r="C21" t="str">
        <f>_xlfn.TEXTBEFORE(B21, " ") &amp; " " &amp; _xlfn.TEXTAFTER(B21, " ", -1)</f>
        <v>EUGENIO VIEIRA</v>
      </c>
      <c r="D21" t="s">
        <v>288</v>
      </c>
      <c r="E21" t="s">
        <v>350</v>
      </c>
      <c r="F21" s="2" t="str">
        <f>IFERROR(_xlfn.XLOOKUP(B21,ABST!B:B,ABST!C:C,,0),"-")</f>
        <v>-</v>
      </c>
      <c r="G21" t="str">
        <f>_xlfn.XLOOKUP(E21,CD_EQUIPES!A:A,CD_EQUIPES!B:B,,0)</f>
        <v>DIA</v>
      </c>
      <c r="H21">
        <f>_xlfn.XLOOKUP(TB_ATIVOS[[#This Row],[Chapa]],'8573'!D:D,'8573'!A:A,,0)</f>
        <v>122666</v>
      </c>
    </row>
    <row r="22" spans="1:8" x14ac:dyDescent="0.25">
      <c r="A22">
        <v>7044</v>
      </c>
      <c r="B22" t="s">
        <v>41</v>
      </c>
      <c r="C22" t="str">
        <f>_xlfn.TEXTBEFORE(B22, " ") &amp; " " &amp; _xlfn.TEXTAFTER(B22, " ", -1)</f>
        <v>DEYFISON SILVA</v>
      </c>
      <c r="D22" t="s">
        <v>288</v>
      </c>
      <c r="E22" t="s">
        <v>350</v>
      </c>
      <c r="F22" s="2" t="str">
        <f>IFERROR(_xlfn.XLOOKUP(B22,ABST!B:B,ABST!C:C,,0),"-")</f>
        <v>-</v>
      </c>
      <c r="G22" t="str">
        <f>_xlfn.XLOOKUP(E22,CD_EQUIPES!A:A,CD_EQUIPES!B:B,,0)</f>
        <v>DIA</v>
      </c>
      <c r="H22">
        <f>_xlfn.XLOOKUP(TB_ATIVOS[[#This Row],[Chapa]],'8573'!D:D,'8573'!A:A,,0)</f>
        <v>180755</v>
      </c>
    </row>
    <row r="23" spans="1:8" x14ac:dyDescent="0.25">
      <c r="A23">
        <v>7445</v>
      </c>
      <c r="B23" t="s">
        <v>80</v>
      </c>
      <c r="C23" t="str">
        <f>_xlfn.TEXTBEFORE(B23, " ") &amp; " " &amp; _xlfn.TEXTAFTER(B23, " ", -1)</f>
        <v>ISRAEL SANTOS</v>
      </c>
      <c r="D23" t="s">
        <v>288</v>
      </c>
      <c r="E23" t="s">
        <v>335</v>
      </c>
      <c r="F23" s="2" t="str">
        <f>IFERROR(_xlfn.XLOOKUP(B23,ABST!B:B,ABST!C:C,,0),"-")</f>
        <v>-</v>
      </c>
      <c r="G23" t="str">
        <f>_xlfn.XLOOKUP(E23,CD_EQUIPES!A:A,CD_EQUIPES!B:B,,0)</f>
        <v>NOITE</v>
      </c>
      <c r="H23">
        <f>_xlfn.XLOOKUP(TB_ATIVOS[[#This Row],[Chapa]],'8573'!D:D,'8573'!A:A,,0)</f>
        <v>180931</v>
      </c>
    </row>
    <row r="24" spans="1:8" x14ac:dyDescent="0.25">
      <c r="A24">
        <v>7570</v>
      </c>
      <c r="B24" t="s">
        <v>75</v>
      </c>
      <c r="C24" t="str">
        <f>_xlfn.TEXTBEFORE(B24, " ") &amp; " " &amp; _xlfn.TEXTAFTER(B24, " ", -1)</f>
        <v>GLAISON LOPES</v>
      </c>
      <c r="D24" t="s">
        <v>288</v>
      </c>
      <c r="E24" t="s">
        <v>335</v>
      </c>
      <c r="F24" s="2" t="str">
        <f>IFERROR(_xlfn.XLOOKUP(B24,ABST!B:B,ABST!C:C,,0),"-")</f>
        <v>-</v>
      </c>
      <c r="G24" t="str">
        <f>_xlfn.XLOOKUP(E24,CD_EQUIPES!A:A,CD_EQUIPES!B:B,,0)</f>
        <v>NOITE</v>
      </c>
      <c r="H24">
        <f>_xlfn.XLOOKUP(TB_ATIVOS[[#This Row],[Chapa]],'8573'!D:D,'8573'!A:A,,0)</f>
        <v>180992</v>
      </c>
    </row>
    <row r="25" spans="1:8" x14ac:dyDescent="0.25">
      <c r="A25">
        <v>7696</v>
      </c>
      <c r="B25" t="s">
        <v>148</v>
      </c>
      <c r="C25" t="str">
        <f>_xlfn.TEXTBEFORE(B25, " ") &amp; " " &amp; _xlfn.TEXTAFTER(B25, " ", -1)</f>
        <v>RAIDAN PEREIRA</v>
      </c>
      <c r="D25" t="s">
        <v>288</v>
      </c>
      <c r="E25" t="s">
        <v>335</v>
      </c>
      <c r="F25" s="2" t="str">
        <f>IFERROR(_xlfn.XLOOKUP(B25,ABST!B:B,ABST!C:C,,0),"-")</f>
        <v>-</v>
      </c>
      <c r="G25" t="str">
        <f>_xlfn.XLOOKUP(E25,CD_EQUIPES!A:A,CD_EQUIPES!B:B,,0)</f>
        <v>NOITE</v>
      </c>
      <c r="H25">
        <f>_xlfn.XLOOKUP(TB_ATIVOS[[#This Row],[Chapa]],'8573'!D:D,'8573'!A:A,,0)</f>
        <v>181057</v>
      </c>
    </row>
    <row r="26" spans="1:8" x14ac:dyDescent="0.25">
      <c r="A26">
        <v>7890</v>
      </c>
      <c r="B26" t="s">
        <v>279</v>
      </c>
      <c r="C26" t="str">
        <f>_xlfn.TEXTBEFORE(B26, " ") &amp; " " &amp; _xlfn.TEXTAFTER(B26, " ", -1)</f>
        <v>JOAO SANTOS</v>
      </c>
      <c r="D26" t="s">
        <v>288</v>
      </c>
      <c r="E26" t="s">
        <v>335</v>
      </c>
      <c r="F26" s="2" t="str">
        <f>IFERROR(_xlfn.XLOOKUP(B26,ABST!B:B,ABST!C:C,,0),"-")</f>
        <v>-</v>
      </c>
      <c r="G26" t="str">
        <f>_xlfn.XLOOKUP(E26,CD_EQUIPES!A:A,CD_EQUIPES!B:B,,0)</f>
        <v>NOITE</v>
      </c>
      <c r="H26">
        <f>_xlfn.XLOOKUP(TB_ATIVOS[[#This Row],[Chapa]],'8573'!D:D,'8573'!A:A,,0)</f>
        <v>181163</v>
      </c>
    </row>
    <row r="27" spans="1:8" x14ac:dyDescent="0.25">
      <c r="A27">
        <v>11</v>
      </c>
      <c r="B27" t="s">
        <v>162</v>
      </c>
      <c r="C27" t="str">
        <f>_xlfn.TEXTBEFORE(B27, " ") &amp; " " &amp; _xlfn.TEXTAFTER(B27, " ", -1)</f>
        <v>SINVALDO RIBEIRO</v>
      </c>
      <c r="D27" t="s">
        <v>289</v>
      </c>
      <c r="E27" t="s">
        <v>341</v>
      </c>
      <c r="F27" s="2" t="str">
        <f>IFERROR(_xlfn.XLOOKUP(B27,ABST!B:B,ABST!C:C,,0),"-")</f>
        <v>-</v>
      </c>
      <c r="G27" t="str">
        <f>_xlfn.XLOOKUP(E27,CD_EQUIPES!A:A,CD_EQUIPES!B:B,,0)</f>
        <v>DIA</v>
      </c>
      <c r="H27">
        <f>_xlfn.XLOOKUP(TB_ATIVOS[[#This Row],[Chapa]],'8573'!D:D,'8573'!A:A,,0)</f>
        <v>1566</v>
      </c>
    </row>
    <row r="28" spans="1:8" x14ac:dyDescent="0.25">
      <c r="A28">
        <v>1559</v>
      </c>
      <c r="B28" t="s">
        <v>33</v>
      </c>
      <c r="C28" t="str">
        <f>_xlfn.TEXTBEFORE(B28, " ") &amp; " " &amp; _xlfn.TEXTAFTER(B28, " ", -1)</f>
        <v>CLAUDIMAR SILVA</v>
      </c>
      <c r="D28" t="s">
        <v>289</v>
      </c>
      <c r="E28" t="s">
        <v>336</v>
      </c>
      <c r="F28" s="2" t="str">
        <f>IFERROR(_xlfn.XLOOKUP(B28,ABST!B:B,ABST!C:C,,0),"-")</f>
        <v>-</v>
      </c>
      <c r="G28" t="str">
        <f>_xlfn.XLOOKUP(E28,CD_EQUIPES!A:A,CD_EQUIPES!B:B,,0)</f>
        <v>DIA</v>
      </c>
      <c r="H28">
        <f>_xlfn.XLOOKUP(TB_ATIVOS[[#This Row],[Chapa]],'8573'!D:D,'8573'!A:A,,0)</f>
        <v>70005</v>
      </c>
    </row>
    <row r="29" spans="1:8" x14ac:dyDescent="0.25">
      <c r="A29">
        <v>2533</v>
      </c>
      <c r="B29" t="s">
        <v>142</v>
      </c>
      <c r="C29" t="str">
        <f>_xlfn.TEXTBEFORE(B29, " ") &amp; " " &amp; _xlfn.TEXTAFTER(B29, " ", -1)</f>
        <v>MAYCON OLIVEIRA</v>
      </c>
      <c r="D29" t="s">
        <v>289</v>
      </c>
      <c r="E29" t="s">
        <v>341</v>
      </c>
      <c r="F29" s="2" t="str">
        <f>IFERROR(_xlfn.XLOOKUP(B29,ABST!B:B,ABST!C:C,,0),"-")</f>
        <v>-</v>
      </c>
      <c r="G29" t="str">
        <f>_xlfn.XLOOKUP(E29,CD_EQUIPES!A:A,CD_EQUIPES!B:B,,0)</f>
        <v>DIA</v>
      </c>
      <c r="H29">
        <f>_xlfn.XLOOKUP(TB_ATIVOS[[#This Row],[Chapa]],'8573'!D:D,'8573'!A:A,,0)</f>
        <v>100078</v>
      </c>
    </row>
    <row r="30" spans="1:8" x14ac:dyDescent="0.25">
      <c r="A30">
        <v>4431</v>
      </c>
      <c r="B30" t="s">
        <v>7</v>
      </c>
      <c r="C30" t="str">
        <f>_xlfn.TEXTBEFORE(B30, " ") &amp; " " &amp; _xlfn.TEXTAFTER(B30, " ", -1)</f>
        <v>ANDERSON FRANCA</v>
      </c>
      <c r="D30" t="s">
        <v>289</v>
      </c>
      <c r="E30" t="s">
        <v>341</v>
      </c>
      <c r="F30" s="2" t="str">
        <f>IFERROR(_xlfn.XLOOKUP(B30,ABST!B:B,ABST!C:C,,0),"-")</f>
        <v>-</v>
      </c>
      <c r="G30" t="str">
        <f>_xlfn.XLOOKUP(E30,CD_EQUIPES!A:A,CD_EQUIPES!B:B,,0)</f>
        <v>DIA</v>
      </c>
      <c r="H30">
        <f>_xlfn.XLOOKUP(TB_ATIVOS[[#This Row],[Chapa]],'8573'!D:D,'8573'!A:A,,0)</f>
        <v>101086</v>
      </c>
    </row>
    <row r="31" spans="1:8" x14ac:dyDescent="0.25">
      <c r="A31">
        <v>4833</v>
      </c>
      <c r="B31" t="s">
        <v>138</v>
      </c>
      <c r="C31" t="str">
        <f>_xlfn.TEXTBEFORE(B31, " ") &amp; " " &amp; _xlfn.TEXTAFTER(B31, " ", -1)</f>
        <v>MARCOS SILVA</v>
      </c>
      <c r="D31" t="s">
        <v>289</v>
      </c>
      <c r="E31" t="s">
        <v>336</v>
      </c>
      <c r="F31" s="2" t="str">
        <f>IFERROR(_xlfn.XLOOKUP(B31,ABST!B:B,ABST!C:C,,0),"-")</f>
        <v>-</v>
      </c>
      <c r="G31" t="str">
        <f>_xlfn.XLOOKUP(E31,CD_EQUIPES!A:A,CD_EQUIPES!B:B,,0)</f>
        <v>DIA</v>
      </c>
      <c r="H31">
        <f>_xlfn.XLOOKUP(TB_ATIVOS[[#This Row],[Chapa]],'8573'!D:D,'8573'!A:A,,0)</f>
        <v>122191</v>
      </c>
    </row>
    <row r="32" spans="1:8" x14ac:dyDescent="0.25">
      <c r="A32">
        <v>4992</v>
      </c>
      <c r="B32" t="s">
        <v>5</v>
      </c>
      <c r="C32" t="str">
        <f>_xlfn.TEXTBEFORE(B32, " ") &amp; " " &amp; _xlfn.TEXTAFTER(B32, " ", -1)</f>
        <v>ALDEIR SILVA</v>
      </c>
      <c r="D32" t="s">
        <v>289</v>
      </c>
      <c r="E32" t="s">
        <v>336</v>
      </c>
      <c r="F32" s="2" t="str">
        <f>IFERROR(_xlfn.XLOOKUP(B32,ABST!B:B,ABST!C:C,,0),"-")</f>
        <v>-</v>
      </c>
      <c r="G32" t="str">
        <f>_xlfn.XLOOKUP(E32,CD_EQUIPES!A:A,CD_EQUIPES!B:B,,0)</f>
        <v>DIA</v>
      </c>
      <c r="H32">
        <f>_xlfn.XLOOKUP(TB_ATIVOS[[#This Row],[Chapa]],'8573'!D:D,'8573'!A:A,,0)</f>
        <v>122254</v>
      </c>
    </row>
    <row r="33" spans="1:8" x14ac:dyDescent="0.25">
      <c r="A33">
        <v>5391</v>
      </c>
      <c r="B33" t="s">
        <v>88</v>
      </c>
      <c r="C33" t="str">
        <f>_xlfn.TEXTBEFORE(B33, " ") &amp; " " &amp; _xlfn.TEXTAFTER(B33, " ", -1)</f>
        <v>JHIONATAN FERREIRA</v>
      </c>
      <c r="D33" t="s">
        <v>289</v>
      </c>
      <c r="E33" t="s">
        <v>336</v>
      </c>
      <c r="F33" s="2" t="str">
        <f>IFERROR(_xlfn.XLOOKUP(B33,ABST!B:B,ABST!C:C,,0),"-")</f>
        <v>-</v>
      </c>
      <c r="G33" t="str">
        <f>_xlfn.XLOOKUP(E33,CD_EQUIPES!A:A,CD_EQUIPES!B:B,,0)</f>
        <v>DIA</v>
      </c>
      <c r="H33">
        <f>_xlfn.XLOOKUP(TB_ATIVOS[[#This Row],[Chapa]],'8573'!D:D,'8573'!A:A,,0)</f>
        <v>122394</v>
      </c>
    </row>
    <row r="34" spans="1:8" x14ac:dyDescent="0.25">
      <c r="A34">
        <v>5593</v>
      </c>
      <c r="B34" t="s">
        <v>2</v>
      </c>
      <c r="C34" t="str">
        <f>_xlfn.TEXTBEFORE(B34, " ") &amp; " " &amp; _xlfn.TEXTAFTER(B34, " ", -1)</f>
        <v>ADAILTON OLIVEIRA</v>
      </c>
      <c r="D34" t="s">
        <v>289</v>
      </c>
      <c r="E34" t="s">
        <v>336</v>
      </c>
      <c r="F34" s="2" t="str">
        <f>IFERROR(_xlfn.XLOOKUP(B34,ABST!B:B,ABST!C:C,,0),"-")</f>
        <v>-</v>
      </c>
      <c r="G34" t="str">
        <f>_xlfn.XLOOKUP(E34,CD_EQUIPES!A:A,CD_EQUIPES!B:B,,0)</f>
        <v>DIA</v>
      </c>
      <c r="H34">
        <f>_xlfn.XLOOKUP(TB_ATIVOS[[#This Row],[Chapa]],'8573'!D:D,'8573'!A:A,,0)</f>
        <v>122473</v>
      </c>
    </row>
    <row r="35" spans="1:8" x14ac:dyDescent="0.25">
      <c r="A35">
        <v>5746</v>
      </c>
      <c r="B35" t="s">
        <v>136</v>
      </c>
      <c r="C35" t="str">
        <f>_xlfn.TEXTBEFORE(B35, " ") &amp; " " &amp; _xlfn.TEXTAFTER(B35, " ", -1)</f>
        <v>MARCOS SILVA</v>
      </c>
      <c r="D35" t="s">
        <v>289</v>
      </c>
      <c r="E35" t="s">
        <v>336</v>
      </c>
      <c r="F35" s="2" t="str">
        <f>IFERROR(_xlfn.XLOOKUP(B35,ABST!B:B,ABST!C:C,,0),"-")</f>
        <v>-</v>
      </c>
      <c r="G35" t="str">
        <f>_xlfn.XLOOKUP(E35,CD_EQUIPES!A:A,CD_EQUIPES!B:B,,0)</f>
        <v>DIA</v>
      </c>
      <c r="H35">
        <f>_xlfn.XLOOKUP(TB_ATIVOS[[#This Row],[Chapa]],'8573'!D:D,'8573'!A:A,,0)</f>
        <v>122520</v>
      </c>
    </row>
    <row r="36" spans="1:8" x14ac:dyDescent="0.25">
      <c r="A36">
        <v>5980</v>
      </c>
      <c r="B36" t="s">
        <v>150</v>
      </c>
      <c r="C36" t="str">
        <f>_xlfn.TEXTBEFORE(B36, " ") &amp; " " &amp; _xlfn.TEXTAFTER(B36, " ", -1)</f>
        <v>RAIMUNDO SILVA</v>
      </c>
      <c r="D36" t="s">
        <v>289</v>
      </c>
      <c r="E36" t="s">
        <v>336</v>
      </c>
      <c r="F36" s="2" t="str">
        <f>IFERROR(_xlfn.XLOOKUP(B36,ABST!B:B,ABST!C:C,,0),"-")</f>
        <v>-</v>
      </c>
      <c r="G36" t="str">
        <f>_xlfn.XLOOKUP(E36,CD_EQUIPES!A:A,CD_EQUIPES!B:B,,0)</f>
        <v>DIA</v>
      </c>
      <c r="H36">
        <f>_xlfn.XLOOKUP(TB_ATIVOS[[#This Row],[Chapa]],'8573'!D:D,'8573'!A:A,,0)</f>
        <v>122606</v>
      </c>
    </row>
    <row r="37" spans="1:8" x14ac:dyDescent="0.25">
      <c r="A37">
        <v>6980</v>
      </c>
      <c r="B37" t="s">
        <v>176</v>
      </c>
      <c r="C37" t="str">
        <f>_xlfn.TEXTBEFORE(B37, " ") &amp; " " &amp; _xlfn.TEXTAFTER(B37, " ", -1)</f>
        <v>WALTER SANTOS</v>
      </c>
      <c r="D37" t="s">
        <v>289</v>
      </c>
      <c r="E37" t="s">
        <v>350</v>
      </c>
      <c r="F37" s="2" t="str">
        <f>IFERROR(_xlfn.XLOOKUP(B37,ABST!B:B,ABST!C:C,,0),"-")</f>
        <v>-</v>
      </c>
      <c r="G37" t="str">
        <f>_xlfn.XLOOKUP(E37,CD_EQUIPES!A:A,CD_EQUIPES!B:B,,0)</f>
        <v>DIA</v>
      </c>
      <c r="H37">
        <f>_xlfn.XLOOKUP(TB_ATIVOS[[#This Row],[Chapa]],'8573'!D:D,'8573'!A:A,,0)</f>
        <v>180726</v>
      </c>
    </row>
    <row r="38" spans="1:8" x14ac:dyDescent="0.25">
      <c r="A38">
        <v>2896</v>
      </c>
      <c r="B38" t="s">
        <v>69</v>
      </c>
      <c r="C38" t="str">
        <f>_xlfn.TEXTBEFORE(B38, " ") &amp; " " &amp; _xlfn.TEXTAFTER(B38, " ", -1)</f>
        <v>FURTUOSO FILHO</v>
      </c>
      <c r="D38" t="s">
        <v>289</v>
      </c>
      <c r="E38" t="s">
        <v>335</v>
      </c>
      <c r="F38" s="2" t="str">
        <f>IFERROR(_xlfn.XLOOKUP(B38,ABST!B:B,ABST!C:C,,0),"-")</f>
        <v>-</v>
      </c>
      <c r="G38" t="str">
        <f>_xlfn.XLOOKUP(E38,CD_EQUIPES!A:A,CD_EQUIPES!B:B,,0)</f>
        <v>NOITE</v>
      </c>
      <c r="H38">
        <f>_xlfn.XLOOKUP(TB_ATIVOS[[#This Row],[Chapa]],'8573'!D:D,'8573'!A:A,,0)</f>
        <v>100277</v>
      </c>
    </row>
    <row r="39" spans="1:8" x14ac:dyDescent="0.25">
      <c r="A39">
        <v>2943</v>
      </c>
      <c r="B39" t="s">
        <v>97</v>
      </c>
      <c r="C39" t="str">
        <f>_xlfn.TEXTBEFORE(B39, " ") &amp; " " &amp; _xlfn.TEXTAFTER(B39, " ", -1)</f>
        <v>JOSE SANTOS</v>
      </c>
      <c r="D39" t="s">
        <v>289</v>
      </c>
      <c r="E39" t="s">
        <v>335</v>
      </c>
      <c r="F39" s="2" t="str">
        <f>IFERROR(_xlfn.XLOOKUP(B39,ABST!B:B,ABST!C:C,,0),"-")</f>
        <v>-</v>
      </c>
      <c r="G39" t="str">
        <f>_xlfn.XLOOKUP(E39,CD_EQUIPES!A:A,CD_EQUIPES!B:B,,0)</f>
        <v>NOITE</v>
      </c>
      <c r="H39">
        <f>_xlfn.XLOOKUP(TB_ATIVOS[[#This Row],[Chapa]],'8573'!D:D,'8573'!A:A,,0)</f>
        <v>100308</v>
      </c>
    </row>
    <row r="40" spans="1:8" x14ac:dyDescent="0.25">
      <c r="A40">
        <v>4577</v>
      </c>
      <c r="B40" t="s">
        <v>82</v>
      </c>
      <c r="C40" t="str">
        <f>_xlfn.TEXTBEFORE(B40, " ") &amp; " " &amp; _xlfn.TEXTAFTER(B40, " ", -1)</f>
        <v>JAILTON BRITO</v>
      </c>
      <c r="D40" t="s">
        <v>289</v>
      </c>
      <c r="E40" t="s">
        <v>335</v>
      </c>
      <c r="F40" s="2" t="str">
        <f>IFERROR(_xlfn.XLOOKUP(B40,ABST!B:B,ABST!C:C,,0),"-")</f>
        <v>-</v>
      </c>
      <c r="G40" t="str">
        <f>_xlfn.XLOOKUP(E40,CD_EQUIPES!A:A,CD_EQUIPES!B:B,,0)</f>
        <v>NOITE</v>
      </c>
      <c r="H40">
        <f>_xlfn.XLOOKUP(TB_ATIVOS[[#This Row],[Chapa]],'8573'!D:D,'8573'!A:A,,0)</f>
        <v>101134</v>
      </c>
    </row>
    <row r="41" spans="1:8" x14ac:dyDescent="0.25">
      <c r="A41">
        <v>5202</v>
      </c>
      <c r="B41" t="s">
        <v>55</v>
      </c>
      <c r="C41" t="str">
        <f>_xlfn.TEXTBEFORE(B41, " ") &amp; " " &amp; _xlfn.TEXTAFTER(B41, " ", -1)</f>
        <v>EUZENIR OLIVEIRA</v>
      </c>
      <c r="D41" t="s">
        <v>289</v>
      </c>
      <c r="E41" t="s">
        <v>335</v>
      </c>
      <c r="F41" s="2" t="str">
        <f>IFERROR(_xlfn.XLOOKUP(B41,ABST!B:B,ABST!C:C,,0),"-")</f>
        <v>-</v>
      </c>
      <c r="G41" t="str">
        <f>_xlfn.XLOOKUP(E41,CD_EQUIPES!A:A,CD_EQUIPES!B:B,,0)</f>
        <v>NOITE</v>
      </c>
      <c r="H41">
        <f>_xlfn.XLOOKUP(TB_ATIVOS[[#This Row],[Chapa]],'8573'!D:D,'8573'!A:A,,0)</f>
        <v>122348</v>
      </c>
    </row>
    <row r="42" spans="1:8" x14ac:dyDescent="0.25">
      <c r="A42">
        <v>5834</v>
      </c>
      <c r="B42" t="s">
        <v>11</v>
      </c>
      <c r="C42" t="str">
        <f>_xlfn.TEXTBEFORE(B42, " ") &amp; " " &amp; _xlfn.TEXTAFTER(B42, " ", -1)</f>
        <v>ANGEL RODRIGUEZ</v>
      </c>
      <c r="D42" t="s">
        <v>289</v>
      </c>
      <c r="E42" t="s">
        <v>335</v>
      </c>
      <c r="F42" s="2" t="str">
        <f>IFERROR(_xlfn.XLOOKUP(B42,ABST!B:B,ABST!C:C,,0),"-")</f>
        <v>-</v>
      </c>
      <c r="G42" t="str">
        <f>_xlfn.XLOOKUP(E42,CD_EQUIPES!A:A,CD_EQUIPES!B:B,,0)</f>
        <v>NOITE</v>
      </c>
      <c r="H42">
        <f>_xlfn.XLOOKUP(TB_ATIVOS[[#This Row],[Chapa]],'8573'!D:D,'8573'!A:A,,0)</f>
        <v>122545</v>
      </c>
    </row>
    <row r="43" spans="1:8" x14ac:dyDescent="0.25">
      <c r="A43">
        <v>5903</v>
      </c>
      <c r="B43" t="s">
        <v>83</v>
      </c>
      <c r="C43" t="str">
        <f>_xlfn.TEXTBEFORE(B43, " ") &amp; " " &amp; _xlfn.TEXTAFTER(B43, " ", -1)</f>
        <v>JAIRO SILVA</v>
      </c>
      <c r="D43" t="s">
        <v>289</v>
      </c>
      <c r="E43" t="s">
        <v>335</v>
      </c>
      <c r="F43" s="2" t="str">
        <f>IFERROR(_xlfn.XLOOKUP(B43,ABST!B:B,ABST!C:C,,0),"-")</f>
        <v>-</v>
      </c>
      <c r="G43" t="str">
        <f>_xlfn.XLOOKUP(E43,CD_EQUIPES!A:A,CD_EQUIPES!B:B,,0)</f>
        <v>NOITE</v>
      </c>
      <c r="H43">
        <f>_xlfn.XLOOKUP(TB_ATIVOS[[#This Row],[Chapa]],'8573'!D:D,'8573'!A:A,,0)</f>
        <v>122573</v>
      </c>
    </row>
    <row r="44" spans="1:8" x14ac:dyDescent="0.25">
      <c r="A44">
        <v>6156</v>
      </c>
      <c r="B44" t="s">
        <v>137</v>
      </c>
      <c r="C44" t="str">
        <f>_xlfn.TEXTBEFORE(B44, " ") &amp; " " &amp; _xlfn.TEXTAFTER(B44, " ", -1)</f>
        <v>MARCOS MARTINS</v>
      </c>
      <c r="D44" t="s">
        <v>289</v>
      </c>
      <c r="E44" t="s">
        <v>335</v>
      </c>
      <c r="F44" s="2" t="str">
        <f>IFERROR(_xlfn.XLOOKUP(B44,ABST!B:B,ABST!C:C,,0),"-")</f>
        <v>-</v>
      </c>
      <c r="G44" t="str">
        <f>_xlfn.XLOOKUP(E44,CD_EQUIPES!A:A,CD_EQUIPES!B:B,,0)</f>
        <v>NOITE</v>
      </c>
      <c r="H44">
        <f>_xlfn.XLOOKUP(TB_ATIVOS[[#This Row],[Chapa]],'8573'!D:D,'8573'!A:A,,0)</f>
        <v>122670</v>
      </c>
    </row>
    <row r="45" spans="1:8" x14ac:dyDescent="0.25">
      <c r="A45">
        <v>6310</v>
      </c>
      <c r="B45" t="s">
        <v>53</v>
      </c>
      <c r="C45" t="str">
        <f>_xlfn.TEXTBEFORE(B45, " ") &amp; " " &amp; _xlfn.TEXTAFTER(B45, " ", -1)</f>
        <v>ELOISO SILVA</v>
      </c>
      <c r="D45" t="s">
        <v>289</v>
      </c>
      <c r="E45" t="s">
        <v>335</v>
      </c>
      <c r="F45" s="2" t="str">
        <f>IFERROR(_xlfn.XLOOKUP(B45,ABST!B:B,ABST!C:C,,0),"-")</f>
        <v>-</v>
      </c>
      <c r="G45" t="str">
        <f>_xlfn.XLOOKUP(E45,CD_EQUIPES!A:A,CD_EQUIPES!B:B,,0)</f>
        <v>NOITE</v>
      </c>
      <c r="H45">
        <f>_xlfn.XLOOKUP(TB_ATIVOS[[#This Row],[Chapa]],'8573'!D:D,'8573'!A:A,,0)</f>
        <v>150018</v>
      </c>
    </row>
    <row r="46" spans="1:8" x14ac:dyDescent="0.25">
      <c r="A46">
        <v>6433</v>
      </c>
      <c r="B46" t="s">
        <v>8</v>
      </c>
      <c r="C46" t="str">
        <f>_xlfn.TEXTBEFORE(B46, " ") &amp; " " &amp; _xlfn.TEXTAFTER(B46, " ", -1)</f>
        <v>ANDRE SANTOS</v>
      </c>
      <c r="D46" t="s">
        <v>289</v>
      </c>
      <c r="E46" t="s">
        <v>335</v>
      </c>
      <c r="F46" s="2" t="str">
        <f>IFERROR(_xlfn.XLOOKUP(B46,ABST!B:B,ABST!C:C,,0),"-")</f>
        <v>-</v>
      </c>
      <c r="G46" t="str">
        <f>_xlfn.XLOOKUP(E46,CD_EQUIPES!A:A,CD_EQUIPES!B:B,,0)</f>
        <v>NOITE</v>
      </c>
      <c r="H46">
        <f>_xlfn.XLOOKUP(TB_ATIVOS[[#This Row],[Chapa]],'8573'!D:D,'8573'!A:A,,0)</f>
        <v>180046</v>
      </c>
    </row>
    <row r="47" spans="1:8" x14ac:dyDescent="0.25">
      <c r="A47">
        <v>6709</v>
      </c>
      <c r="B47" t="s">
        <v>67</v>
      </c>
      <c r="C47" t="str">
        <f>_xlfn.TEXTBEFORE(B47, " ") &amp; " " &amp; _xlfn.TEXTAFTER(B47, " ", -1)</f>
        <v>FRANCISCO NETO</v>
      </c>
      <c r="D47" t="s">
        <v>289</v>
      </c>
      <c r="E47" t="s">
        <v>335</v>
      </c>
      <c r="F47" s="2" t="str">
        <f>IFERROR(_xlfn.XLOOKUP(B47,ABST!B:B,ABST!C:C,,0),"-")</f>
        <v>-</v>
      </c>
      <c r="G47" t="str">
        <f>_xlfn.XLOOKUP(E47,CD_EQUIPES!A:A,CD_EQUIPES!B:B,,0)</f>
        <v>NOITE</v>
      </c>
      <c r="H47">
        <f>_xlfn.XLOOKUP(TB_ATIVOS[[#This Row],[Chapa]],'8573'!D:D,'8573'!A:A,,0)</f>
        <v>180177</v>
      </c>
    </row>
    <row r="48" spans="1:8" x14ac:dyDescent="0.25">
      <c r="A48">
        <v>6862</v>
      </c>
      <c r="B48" t="s">
        <v>1</v>
      </c>
      <c r="C48" t="str">
        <f>_xlfn.TEXTBEFORE(B48, " ") &amp; " " &amp; _xlfn.TEXTAFTER(B48, " ", -1)</f>
        <v>ADAIL SACRAMENTO</v>
      </c>
      <c r="D48" t="s">
        <v>289</v>
      </c>
      <c r="E48" t="s">
        <v>335</v>
      </c>
      <c r="F48" s="2" t="str">
        <f>IFERROR(_xlfn.XLOOKUP(B48,ABST!B:B,ABST!C:C,,0),"-")</f>
        <v>-</v>
      </c>
      <c r="G48" t="str">
        <f>_xlfn.XLOOKUP(E48,CD_EQUIPES!A:A,CD_EQUIPES!B:B,,0)</f>
        <v>NOITE</v>
      </c>
      <c r="H48">
        <f>_xlfn.XLOOKUP(TB_ATIVOS[[#This Row],[Chapa]],'8573'!D:D,'8573'!A:A,,0)</f>
        <v>180266</v>
      </c>
    </row>
    <row r="49" spans="1:8" x14ac:dyDescent="0.25">
      <c r="A49">
        <v>6891</v>
      </c>
      <c r="B49" t="s">
        <v>61</v>
      </c>
      <c r="C49" t="str">
        <f>_xlfn.TEXTBEFORE(B49, " ") &amp; " " &amp; _xlfn.TEXTAFTER(B49, " ", -1)</f>
        <v>FLAVIA SILVA</v>
      </c>
      <c r="D49" t="s">
        <v>289</v>
      </c>
      <c r="E49" t="s">
        <v>335</v>
      </c>
      <c r="F49" s="2" t="str">
        <f>IFERROR(_xlfn.XLOOKUP(B49,ABST!B:B,ABST!C:C,,0),"-")</f>
        <v>-</v>
      </c>
      <c r="G49" t="str">
        <f>_xlfn.XLOOKUP(E49,CD_EQUIPES!A:A,CD_EQUIPES!B:B,,0)</f>
        <v>NOITE</v>
      </c>
      <c r="H49">
        <f>_xlfn.XLOOKUP(TB_ATIVOS[[#This Row],[Chapa]],'8573'!D:D,'8573'!A:A,,0)</f>
        <v>180279</v>
      </c>
    </row>
    <row r="50" spans="1:8" x14ac:dyDescent="0.25">
      <c r="A50">
        <v>5796</v>
      </c>
      <c r="B50" t="s">
        <v>42</v>
      </c>
      <c r="C50" t="str">
        <f>_xlfn.TEXTBEFORE(B50, " ") &amp; " " &amp; _xlfn.TEXTAFTER(B50, " ", -1)</f>
        <v>DIONE SANTOS</v>
      </c>
      <c r="D50" t="s">
        <v>453</v>
      </c>
      <c r="E50" t="s">
        <v>336</v>
      </c>
      <c r="F50" s="2" t="str">
        <f>IFERROR(_xlfn.XLOOKUP(B50,ABST!B:B,ABST!C:C,,0),"-")</f>
        <v>-</v>
      </c>
      <c r="G50" t="str">
        <f>_xlfn.XLOOKUP(E50,CD_EQUIPES!A:A,CD_EQUIPES!B:B,,0)</f>
        <v>DIA</v>
      </c>
      <c r="H50">
        <f>_xlfn.XLOOKUP(TB_ATIVOS[[#This Row],[Chapa]],'8573'!D:D,'8573'!A:A,,0)</f>
        <v>122529</v>
      </c>
    </row>
    <row r="51" spans="1:8" x14ac:dyDescent="0.25">
      <c r="A51">
        <v>5027</v>
      </c>
      <c r="B51" t="s">
        <v>4</v>
      </c>
      <c r="C51" t="str">
        <f>_xlfn.TEXTBEFORE(B51, " ") &amp; " " &amp; _xlfn.TEXTAFTER(B51, " ", -1)</f>
        <v>AIRTON JUNIOR</v>
      </c>
      <c r="D51" t="s">
        <v>453</v>
      </c>
      <c r="E51" t="s">
        <v>335</v>
      </c>
      <c r="F51" s="2" t="str">
        <f>IFERROR(_xlfn.XLOOKUP(B51,ABST!B:B,ABST!C:C,,0),"-")</f>
        <v>-</v>
      </c>
      <c r="G51" t="str">
        <f>_xlfn.XLOOKUP(E51,CD_EQUIPES!A:A,CD_EQUIPES!B:B,,0)</f>
        <v>NOITE</v>
      </c>
      <c r="H51">
        <f>_xlfn.XLOOKUP(TB_ATIVOS[[#This Row],[Chapa]],'8573'!D:D,'8573'!A:A,,0)</f>
        <v>122276</v>
      </c>
    </row>
    <row r="52" spans="1:8" x14ac:dyDescent="0.25">
      <c r="A52">
        <v>5113</v>
      </c>
      <c r="B52" t="s">
        <v>122</v>
      </c>
      <c r="C52" t="str">
        <f>_xlfn.TEXTBEFORE(B52, " ") &amp; " " &amp; _xlfn.TEXTAFTER(B52, " ", -1)</f>
        <v>LUCIANE SILVA</v>
      </c>
      <c r="D52" t="s">
        <v>453</v>
      </c>
      <c r="E52" t="s">
        <v>335</v>
      </c>
      <c r="F52" s="2" t="str">
        <f>IFERROR(_xlfn.XLOOKUP(B52,ABST!B:B,ABST!C:C,,0),"-")</f>
        <v>MESA</v>
      </c>
      <c r="G52" t="str">
        <f>_xlfn.XLOOKUP(E52,CD_EQUIPES!A:A,CD_EQUIPES!B:B,,0)</f>
        <v>NOITE</v>
      </c>
      <c r="H52">
        <f>_xlfn.XLOOKUP(TB_ATIVOS[[#This Row],[Chapa]],'8573'!D:D,'8573'!A:A,,0)</f>
        <v>122313</v>
      </c>
    </row>
    <row r="53" spans="1:8" x14ac:dyDescent="0.25">
      <c r="A53">
        <v>6530</v>
      </c>
      <c r="B53" t="s">
        <v>161</v>
      </c>
      <c r="C53" t="str">
        <f>_xlfn.TEXTBEFORE(B53, " ") &amp; " " &amp; _xlfn.TEXTAFTER(B53, " ", -1)</f>
        <v>SIMONE SANTOS</v>
      </c>
      <c r="D53" t="s">
        <v>453</v>
      </c>
      <c r="E53" t="s">
        <v>337</v>
      </c>
      <c r="F53" s="2" t="str">
        <f>IFERROR(_xlfn.XLOOKUP(B53,ABST!B:B,ABST!C:C,,0),"-")</f>
        <v>MESA</v>
      </c>
      <c r="G53" t="str">
        <f>_xlfn.XLOOKUP(E53,CD_EQUIPES!A:A,CD_EQUIPES!B:B,,0)</f>
        <v>NOITE</v>
      </c>
      <c r="H53">
        <f>_xlfn.XLOOKUP(TB_ATIVOS[[#This Row],[Chapa]],'8573'!D:D,'8573'!A:A,,0)</f>
        <v>180091</v>
      </c>
    </row>
    <row r="54" spans="1:8" x14ac:dyDescent="0.25">
      <c r="A54">
        <v>6583</v>
      </c>
      <c r="B54" t="s">
        <v>164</v>
      </c>
      <c r="C54" t="str">
        <f>_xlfn.TEXTBEFORE(B54, " ") &amp; " " &amp; _xlfn.TEXTAFTER(B54, " ", -1)</f>
        <v>TAINA RIBEIRO</v>
      </c>
      <c r="D54" t="s">
        <v>453</v>
      </c>
      <c r="E54" t="s">
        <v>334</v>
      </c>
      <c r="F54" s="2" t="str">
        <f>IFERROR(_xlfn.XLOOKUP(B54,ABST!B:B,ABST!C:C,,0),"-")</f>
        <v>MESA</v>
      </c>
      <c r="G54" t="str">
        <f>_xlfn.XLOOKUP(E54,CD_EQUIPES!A:A,CD_EQUIPES!B:B,,0)</f>
        <v>NOITE</v>
      </c>
      <c r="H54">
        <f>_xlfn.XLOOKUP(TB_ATIVOS[[#This Row],[Chapa]],'8573'!D:D,'8573'!A:A,,0)</f>
        <v>180121</v>
      </c>
    </row>
    <row r="55" spans="1:8" x14ac:dyDescent="0.25">
      <c r="A55">
        <v>7167</v>
      </c>
      <c r="B55" t="s">
        <v>22</v>
      </c>
      <c r="C55" t="str">
        <f>_xlfn.TEXTBEFORE(B55, " ") &amp; " " &amp; _xlfn.TEXTAFTER(B55, " ", -1)</f>
        <v>BRUNO LIMA</v>
      </c>
      <c r="D55" t="s">
        <v>453</v>
      </c>
      <c r="E55" t="s">
        <v>338</v>
      </c>
      <c r="F55" s="2" t="str">
        <f>IFERROR(_xlfn.XLOOKUP(B55,ABST!B:B,ABST!C:C,,0),"-")</f>
        <v>MESA</v>
      </c>
      <c r="G55" t="str">
        <f>_xlfn.XLOOKUP(E55,CD_EQUIPES!A:A,CD_EQUIPES!B:B,,0)</f>
        <v>NOITE</v>
      </c>
      <c r="H55">
        <f>_xlfn.XLOOKUP(TB_ATIVOS[[#This Row],[Chapa]],'8573'!D:D,'8573'!A:A,,0)</f>
        <v>180808</v>
      </c>
    </row>
    <row r="56" spans="1:8" x14ac:dyDescent="0.25">
      <c r="A56">
        <v>6577</v>
      </c>
      <c r="B56" t="s">
        <v>94</v>
      </c>
      <c r="C56" t="str">
        <f>_xlfn.TEXTBEFORE(B56, " ") &amp; " " &amp; _xlfn.TEXTAFTER(B56, " ", -1)</f>
        <v>JOILDA ARAUJO</v>
      </c>
      <c r="D56" t="s">
        <v>353</v>
      </c>
      <c r="E56" t="s">
        <v>340</v>
      </c>
      <c r="F56" s="2" t="str">
        <f>IFERROR(_xlfn.XLOOKUP(B56,ABST!B:B,ABST!C:C,,0),"-")</f>
        <v>-</v>
      </c>
      <c r="G56" t="str">
        <f>_xlfn.XLOOKUP(E56,CD_EQUIPES!A:A,CD_EQUIPES!B:B,,0)</f>
        <v>DIA</v>
      </c>
      <c r="H56">
        <f>_xlfn.XLOOKUP(TB_ATIVOS[[#This Row],[Chapa]],'8573'!D:D,'8573'!A:A,,0)</f>
        <v>180118</v>
      </c>
    </row>
    <row r="57" spans="1:8" x14ac:dyDescent="0.25">
      <c r="A57">
        <v>7463</v>
      </c>
      <c r="B57" t="s">
        <v>114</v>
      </c>
      <c r="C57" t="str">
        <f>_xlfn.TEXTBEFORE(B57, " ") &amp; " " &amp; _xlfn.TEXTAFTER(B57, " ", -1)</f>
        <v>LEOMIR ARAUJO</v>
      </c>
      <c r="D57" t="s">
        <v>291</v>
      </c>
      <c r="E57" t="s">
        <v>335</v>
      </c>
      <c r="F57" s="2" t="str">
        <f>IFERROR(_xlfn.XLOOKUP(B57,ABST!B:B,ABST!C:C,,0),"-")</f>
        <v>-</v>
      </c>
      <c r="G57" t="str">
        <f>_xlfn.XLOOKUP(E57,CD_EQUIPES!A:A,CD_EQUIPES!B:B,,0)</f>
        <v>NOITE</v>
      </c>
      <c r="H57">
        <f>_xlfn.XLOOKUP(TB_ATIVOS[[#This Row],[Chapa]],'8573'!D:D,'8573'!A:A,,0)</f>
        <v>180947</v>
      </c>
    </row>
    <row r="58" spans="1:8" x14ac:dyDescent="0.25">
      <c r="A58">
        <v>8060</v>
      </c>
      <c r="B58" t="s">
        <v>292</v>
      </c>
      <c r="C58" t="str">
        <f>_xlfn.TEXTBEFORE(B58, " ") &amp; " " &amp; _xlfn.TEXTAFTER(B58, " ", -1)</f>
        <v>HENRIQUE FERNANDES</v>
      </c>
      <c r="D58" t="s">
        <v>291</v>
      </c>
      <c r="E58" t="s">
        <v>335</v>
      </c>
      <c r="F58" s="2" t="str">
        <f>IFERROR(_xlfn.XLOOKUP(B58,ABST!B:B,ABST!C:C,,0),"-")</f>
        <v>-</v>
      </c>
      <c r="G58" t="str">
        <f>_xlfn.XLOOKUP(E58,CD_EQUIPES!A:A,CD_EQUIPES!B:B,,0)</f>
        <v>NOITE</v>
      </c>
      <c r="H58">
        <f>_xlfn.XLOOKUP(TB_ATIVOS[[#This Row],[Chapa]],'8573'!D:D,'8573'!A:A,,0)</f>
        <v>181277</v>
      </c>
    </row>
    <row r="59" spans="1:8" x14ac:dyDescent="0.25">
      <c r="A59">
        <v>8061</v>
      </c>
      <c r="B59" t="s">
        <v>307</v>
      </c>
      <c r="C59" t="str">
        <f>_xlfn.TEXTBEFORE(B59, " ") &amp; " " &amp; _xlfn.TEXTAFTER(B59, " ", -1)</f>
        <v>PEDRO PORTO</v>
      </c>
      <c r="D59" t="s">
        <v>293</v>
      </c>
      <c r="E59" t="s">
        <v>344</v>
      </c>
      <c r="F59" s="2" t="str">
        <f>IFERROR(_xlfn.XLOOKUP(B59,ABST!B:B,ABST!C:C,,0),"-")</f>
        <v>-</v>
      </c>
      <c r="G59" t="str">
        <f>_xlfn.XLOOKUP(E59,CD_EQUIPES!A:A,CD_EQUIPES!B:B,,0)</f>
        <v>DIA</v>
      </c>
      <c r="H59">
        <f>_xlfn.XLOOKUP(TB_ATIVOS[[#This Row],[Chapa]],'8573'!D:D,'8573'!A:A,,0)</f>
        <v>181273</v>
      </c>
    </row>
    <row r="60" spans="1:8" x14ac:dyDescent="0.25">
      <c r="A60">
        <v>8090</v>
      </c>
      <c r="B60" t="s">
        <v>318</v>
      </c>
      <c r="C60" t="str">
        <f>_xlfn.TEXTBEFORE(B60, " ") &amp; " " &amp; _xlfn.TEXTAFTER(B60, " ", -1)</f>
        <v>ROGERIO MONTEIRO</v>
      </c>
      <c r="D60" t="s">
        <v>293</v>
      </c>
      <c r="E60" t="s">
        <v>336</v>
      </c>
      <c r="F60" s="2" t="str">
        <f>IFERROR(_xlfn.XLOOKUP(B60,ABST!B:B,ABST!C:C,,0),"-")</f>
        <v>-</v>
      </c>
      <c r="G60" t="str">
        <f>_xlfn.XLOOKUP(E60,CD_EQUIPES!A:A,CD_EQUIPES!B:B,,0)</f>
        <v>DIA</v>
      </c>
      <c r="H60">
        <f>_xlfn.XLOOKUP(TB_ATIVOS[[#This Row],[Chapa]],'8573'!D:D,'8573'!A:A,,0)</f>
        <v>181284</v>
      </c>
    </row>
    <row r="61" spans="1:8" x14ac:dyDescent="0.25">
      <c r="A61">
        <v>8094</v>
      </c>
      <c r="B61" t="s">
        <v>312</v>
      </c>
      <c r="C61" t="str">
        <f>_xlfn.TEXTBEFORE(B61, " ") &amp; " " &amp; _xlfn.TEXTAFTER(B61, " ", -1)</f>
        <v>FAUSTO CARMO</v>
      </c>
      <c r="D61" t="s">
        <v>293</v>
      </c>
      <c r="E61" t="s">
        <v>344</v>
      </c>
      <c r="F61" s="2" t="str">
        <f>IFERROR(_xlfn.XLOOKUP(B61,ABST!B:B,ABST!C:C,,0),"-")</f>
        <v>-</v>
      </c>
      <c r="G61" t="str">
        <f>_xlfn.XLOOKUP(E61,CD_EQUIPES!A:A,CD_EQUIPES!B:B,,0)</f>
        <v>DIA</v>
      </c>
      <c r="H61">
        <f>_xlfn.XLOOKUP(TB_ATIVOS[[#This Row],[Chapa]],'8573'!D:D,'8573'!A:A,,0)</f>
        <v>181285</v>
      </c>
    </row>
    <row r="62" spans="1:8" x14ac:dyDescent="0.25">
      <c r="A62">
        <v>8095</v>
      </c>
      <c r="B62" t="s">
        <v>310</v>
      </c>
      <c r="C62" t="str">
        <f>_xlfn.TEXTBEFORE(B62, " ") &amp; " " &amp; _xlfn.TEXTAFTER(B62, " ", -1)</f>
        <v>NICOLE FINOL</v>
      </c>
      <c r="D62" t="s">
        <v>293</v>
      </c>
      <c r="E62" t="s">
        <v>344</v>
      </c>
      <c r="F62" s="2" t="str">
        <f>IFERROR(_xlfn.XLOOKUP(B62,ABST!B:B,ABST!C:C,,0),"-")</f>
        <v>-</v>
      </c>
      <c r="G62" t="str">
        <f>_xlfn.XLOOKUP(E62,CD_EQUIPES!A:A,CD_EQUIPES!B:B,,0)</f>
        <v>DIA</v>
      </c>
      <c r="H62">
        <f>_xlfn.XLOOKUP(TB_ATIVOS[[#This Row],[Chapa]],'8573'!D:D,'8573'!A:A,,0)</f>
        <v>181286</v>
      </c>
    </row>
    <row r="63" spans="1:8" x14ac:dyDescent="0.25">
      <c r="A63">
        <v>8096</v>
      </c>
      <c r="B63" t="s">
        <v>321</v>
      </c>
      <c r="C63" t="str">
        <f>_xlfn.TEXTBEFORE(B63, " ") &amp; " " &amp; _xlfn.TEXTAFTER(B63, " ", -1)</f>
        <v>JOAO SILVA</v>
      </c>
      <c r="D63" t="s">
        <v>293</v>
      </c>
      <c r="E63" t="s">
        <v>344</v>
      </c>
      <c r="F63" s="2" t="str">
        <f>IFERROR(_xlfn.XLOOKUP(B63,ABST!B:B,ABST!C:C,,0),"-")</f>
        <v>-</v>
      </c>
      <c r="G63" t="str">
        <f>_xlfn.XLOOKUP(E63,CD_EQUIPES!A:A,CD_EQUIPES!B:B,,0)</f>
        <v>DIA</v>
      </c>
      <c r="H63">
        <f>_xlfn.XLOOKUP(TB_ATIVOS[[#This Row],[Chapa]],'8573'!D:D,'8573'!A:A,,0)</f>
        <v>181287</v>
      </c>
    </row>
    <row r="64" spans="1:8" x14ac:dyDescent="0.25">
      <c r="A64">
        <v>8111</v>
      </c>
      <c r="B64" t="s">
        <v>296</v>
      </c>
      <c r="C64" t="str">
        <f>_xlfn.TEXTBEFORE(B64, " ") &amp; " " &amp; _xlfn.TEXTAFTER(B64, " ", -1)</f>
        <v>WATILLA ROBAINA</v>
      </c>
      <c r="D64" t="s">
        <v>293</v>
      </c>
      <c r="E64" t="s">
        <v>344</v>
      </c>
      <c r="F64" s="2" t="str">
        <f>IFERROR(_xlfn.XLOOKUP(B64,ABST!B:B,ABST!C:C,,0),"-")</f>
        <v>-</v>
      </c>
      <c r="G64" t="str">
        <f>_xlfn.XLOOKUP(E64,CD_EQUIPES!A:A,CD_EQUIPES!B:B,,0)</f>
        <v>DIA</v>
      </c>
      <c r="H64">
        <f>_xlfn.XLOOKUP(TB_ATIVOS[[#This Row],[Chapa]],'8573'!D:D,'8573'!A:A,,0)</f>
        <v>181291</v>
      </c>
    </row>
    <row r="65" spans="1:8" x14ac:dyDescent="0.25">
      <c r="A65">
        <v>8099</v>
      </c>
      <c r="B65" t="s">
        <v>316</v>
      </c>
      <c r="C65" t="str">
        <f>_xlfn.TEXTBEFORE(B65, " ") &amp; " " &amp; _xlfn.TEXTAFTER(B65, " ", -1)</f>
        <v>JOSENILDO CRUZ</v>
      </c>
      <c r="D65" t="s">
        <v>293</v>
      </c>
      <c r="E65" t="s">
        <v>344</v>
      </c>
      <c r="F65" s="2" t="str">
        <f>IFERROR(_xlfn.XLOOKUP(B65,ABST!B:B,ABST!C:C,,0),"-")</f>
        <v>-</v>
      </c>
      <c r="G65" t="str">
        <f>_xlfn.XLOOKUP(E65,CD_EQUIPES!A:A,CD_EQUIPES!B:B,,0)</f>
        <v>DIA</v>
      </c>
      <c r="H65">
        <f>_xlfn.XLOOKUP(TB_ATIVOS[[#This Row],[Chapa]],'8573'!D:D,'8573'!A:A,,0)</f>
        <v>181294</v>
      </c>
    </row>
    <row r="66" spans="1:8" x14ac:dyDescent="0.25">
      <c r="A66">
        <v>8119</v>
      </c>
      <c r="B66" t="s">
        <v>429</v>
      </c>
      <c r="C66" t="str">
        <f>_xlfn.TEXTBEFORE(B66, " ") &amp; " " &amp; _xlfn.TEXTAFTER(B66, " ", -1)</f>
        <v>ALEXANDRE GARCIA</v>
      </c>
      <c r="D66" t="s">
        <v>293</v>
      </c>
      <c r="E66" t="s">
        <v>344</v>
      </c>
      <c r="F66" s="2" t="str">
        <f>IFERROR(_xlfn.XLOOKUP(B66,ABST!B:B,ABST!C:C,,0),"-")</f>
        <v>-</v>
      </c>
      <c r="G66" t="str">
        <f>_xlfn.XLOOKUP(E66,CD_EQUIPES!A:A,CD_EQUIPES!B:B,,0)</f>
        <v>DIA</v>
      </c>
      <c r="H66">
        <f>_xlfn.XLOOKUP(TB_ATIVOS[[#This Row],[Chapa]],'8573'!D:D,'8573'!A:A,,0)</f>
        <v>181299</v>
      </c>
    </row>
    <row r="67" spans="1:8" x14ac:dyDescent="0.25">
      <c r="A67">
        <v>8120</v>
      </c>
      <c r="B67" t="s">
        <v>447</v>
      </c>
      <c r="C67" t="str">
        <f>_xlfn.TEXTBEFORE(B67, " ") &amp; " " &amp; _xlfn.TEXTAFTER(B67, " ", -1)</f>
        <v>IANK PEREIRA</v>
      </c>
      <c r="D67" t="s">
        <v>293</v>
      </c>
      <c r="E67" t="s">
        <v>341</v>
      </c>
      <c r="F67" s="2" t="str">
        <f>IFERROR(_xlfn.XLOOKUP(B67,ABST!B:B,ABST!C:C,,0),"-")</f>
        <v>-</v>
      </c>
      <c r="G67" t="str">
        <f>_xlfn.XLOOKUP(E67,CD_EQUIPES!A:A,CD_EQUIPES!B:B,,0)</f>
        <v>DIA</v>
      </c>
      <c r="H67">
        <f>_xlfn.XLOOKUP(TB_ATIVOS[[#This Row],[Chapa]],'8573'!D:D,'8573'!A:A,,0)</f>
        <v>181300</v>
      </c>
    </row>
    <row r="68" spans="1:8" x14ac:dyDescent="0.25">
      <c r="A68">
        <v>8142</v>
      </c>
      <c r="B68" t="s">
        <v>449</v>
      </c>
      <c r="C68" t="str">
        <f>_xlfn.TEXTBEFORE(B68, " ") &amp; " " &amp; _xlfn.TEXTAFTER(B68, " ", -1)</f>
        <v>ANGELO MARQUEZ</v>
      </c>
      <c r="D68" t="s">
        <v>293</v>
      </c>
      <c r="E68" t="s">
        <v>341</v>
      </c>
      <c r="F68" s="2" t="str">
        <f>IFERROR(_xlfn.XLOOKUP(B68,ABST!B:B,ABST!C:C,,0),"-")</f>
        <v>-</v>
      </c>
      <c r="G68" t="str">
        <f>_xlfn.XLOOKUP(E68,CD_EQUIPES!A:A,CD_EQUIPES!B:B,,0)</f>
        <v>DIA</v>
      </c>
      <c r="H68">
        <f>_xlfn.XLOOKUP(TB_ATIVOS[[#This Row],[Chapa]],'8573'!D:D,'8573'!A:A,,0)</f>
        <v>181337</v>
      </c>
    </row>
    <row r="69" spans="1:8" x14ac:dyDescent="0.25">
      <c r="A69">
        <v>8143</v>
      </c>
      <c r="B69" t="s">
        <v>441</v>
      </c>
      <c r="C69" t="str">
        <f>_xlfn.TEXTBEFORE(B69, " ") &amp; " " &amp; _xlfn.TEXTAFTER(B69, " ", -1)</f>
        <v>ROBSON MOURA</v>
      </c>
      <c r="D69" t="s">
        <v>293</v>
      </c>
      <c r="E69" t="s">
        <v>341</v>
      </c>
      <c r="F69" s="2" t="str">
        <f>IFERROR(_xlfn.XLOOKUP(B69,ABST!B:B,ABST!C:C,,0),"-")</f>
        <v>-</v>
      </c>
      <c r="G69" t="str">
        <f>_xlfn.XLOOKUP(E69,CD_EQUIPES!A:A,CD_EQUIPES!B:B,,0)</f>
        <v>DIA</v>
      </c>
      <c r="H69">
        <f>_xlfn.XLOOKUP(TB_ATIVOS[[#This Row],[Chapa]],'8573'!D:D,'8573'!A:A,,0)</f>
        <v>181338</v>
      </c>
    </row>
    <row r="70" spans="1:8" x14ac:dyDescent="0.25">
      <c r="A70">
        <v>8152</v>
      </c>
      <c r="B70" t="s">
        <v>431</v>
      </c>
      <c r="C70" t="str">
        <f>_xlfn.TEXTBEFORE(B70, " ") &amp; " " &amp; _xlfn.TEXTAFTER(B70, " ", -1)</f>
        <v>CLEITO COSTA</v>
      </c>
      <c r="D70" t="s">
        <v>293</v>
      </c>
      <c r="E70" t="s">
        <v>341</v>
      </c>
      <c r="F70" s="2" t="str">
        <f>IFERROR(_xlfn.XLOOKUP(B70,ABST!B:B,ABST!C:C,,0),"-")</f>
        <v>-</v>
      </c>
      <c r="G70" t="str">
        <f>_xlfn.XLOOKUP(E70,CD_EQUIPES!A:A,CD_EQUIPES!B:B,,0)</f>
        <v>DIA</v>
      </c>
      <c r="H70">
        <f>_xlfn.XLOOKUP(TB_ATIVOS[[#This Row],[Chapa]],'8573'!D:D,'8573'!A:A,,0)</f>
        <v>181343</v>
      </c>
    </row>
    <row r="71" spans="1:8" x14ac:dyDescent="0.25">
      <c r="A71">
        <v>8154</v>
      </c>
      <c r="B71" t="s">
        <v>424</v>
      </c>
      <c r="C71" t="str">
        <f>_xlfn.TEXTBEFORE(B71, " ") &amp; " " &amp; _xlfn.TEXTAFTER(B71, " ", -1)</f>
        <v>NAYRON BORGES</v>
      </c>
      <c r="D71" t="s">
        <v>293</v>
      </c>
      <c r="E71" t="s">
        <v>341</v>
      </c>
      <c r="F71" s="2" t="str">
        <f>IFERROR(_xlfn.XLOOKUP(B71,ABST!B:B,ABST!C:C,,0),"-")</f>
        <v>-</v>
      </c>
      <c r="G71" t="str">
        <f>_xlfn.XLOOKUP(E71,CD_EQUIPES!A:A,CD_EQUIPES!B:B,,0)</f>
        <v>DIA</v>
      </c>
      <c r="H71">
        <f>_xlfn.XLOOKUP(TB_ATIVOS[[#This Row],[Chapa]],'8573'!D:D,'8573'!A:A,,0)</f>
        <v>181344</v>
      </c>
    </row>
    <row r="72" spans="1:8" x14ac:dyDescent="0.25">
      <c r="A72">
        <v>8158</v>
      </c>
      <c r="B72" t="s">
        <v>428</v>
      </c>
      <c r="C72" t="str">
        <f>_xlfn.TEXTBEFORE(B72, " ") &amp; " " &amp; _xlfn.TEXTAFTER(B72, " ", -1)</f>
        <v>JHONATHAS OLIVEIRA</v>
      </c>
      <c r="D72" t="s">
        <v>293</v>
      </c>
      <c r="E72" t="s">
        <v>336</v>
      </c>
      <c r="F72" s="2" t="str">
        <f>IFERROR(_xlfn.XLOOKUP(B72,ABST!B:B,ABST!C:C,,0),"-")</f>
        <v>-</v>
      </c>
      <c r="G72" t="str">
        <f>_xlfn.XLOOKUP(E72,CD_EQUIPES!A:A,CD_EQUIPES!B:B,,0)</f>
        <v>DIA</v>
      </c>
      <c r="H72">
        <f>_xlfn.XLOOKUP(TB_ATIVOS[[#This Row],[Chapa]],'8573'!D:D,'8573'!A:A,,0)</f>
        <v>181347</v>
      </c>
    </row>
    <row r="73" spans="1:8" x14ac:dyDescent="0.25">
      <c r="A73">
        <v>8157</v>
      </c>
      <c r="B73" t="s">
        <v>437</v>
      </c>
      <c r="C73" t="str">
        <f>_xlfn.TEXTBEFORE(B73, " ") &amp; " " &amp; _xlfn.TEXTAFTER(B73, " ", -1)</f>
        <v>NADSON SILVA</v>
      </c>
      <c r="D73" t="s">
        <v>293</v>
      </c>
      <c r="E73" t="s">
        <v>341</v>
      </c>
      <c r="F73" s="2" t="str">
        <f>IFERROR(_xlfn.XLOOKUP(B73,ABST!B:B,ABST!C:C,,0),"-")</f>
        <v>-</v>
      </c>
      <c r="G73" t="str">
        <f>_xlfn.XLOOKUP(E73,CD_EQUIPES!A:A,CD_EQUIPES!B:B,,0)</f>
        <v>DIA</v>
      </c>
      <c r="H73">
        <f>_xlfn.XLOOKUP(TB_ATIVOS[[#This Row],[Chapa]],'8573'!D:D,'8573'!A:A,,0)</f>
        <v>181352</v>
      </c>
    </row>
    <row r="74" spans="1:8" x14ac:dyDescent="0.25">
      <c r="A74">
        <v>8156</v>
      </c>
      <c r="B74" t="s">
        <v>439</v>
      </c>
      <c r="C74" t="str">
        <f>_xlfn.TEXTBEFORE(B74, " ") &amp; " " &amp; _xlfn.TEXTAFTER(B74, " ", -1)</f>
        <v>JOAO SILVA</v>
      </c>
      <c r="D74" t="s">
        <v>293</v>
      </c>
      <c r="E74" t="s">
        <v>341</v>
      </c>
      <c r="F74" s="2" t="str">
        <f>IFERROR(_xlfn.XLOOKUP(B74,ABST!B:B,ABST!C:C,,0),"-")</f>
        <v>-</v>
      </c>
      <c r="G74" t="str">
        <f>_xlfn.XLOOKUP(E74,CD_EQUIPES!A:A,CD_EQUIPES!B:B,,0)</f>
        <v>DIA</v>
      </c>
      <c r="H74">
        <f>_xlfn.XLOOKUP(TB_ATIVOS[[#This Row],[Chapa]],'8573'!D:D,'8573'!A:A,,0)</f>
        <v>181353</v>
      </c>
    </row>
    <row r="75" spans="1:8" x14ac:dyDescent="0.25">
      <c r="A75">
        <v>8174</v>
      </c>
      <c r="B75" t="s">
        <v>444</v>
      </c>
      <c r="C75" t="str">
        <f>_xlfn.TEXTBEFORE(B75, " ") &amp; " " &amp; _xlfn.TEXTAFTER(B75, " ", -1)</f>
        <v>GEOVANE BRITO</v>
      </c>
      <c r="D75" t="s">
        <v>293</v>
      </c>
      <c r="E75" t="s">
        <v>341</v>
      </c>
      <c r="F75" s="2" t="str">
        <f>IFERROR(_xlfn.XLOOKUP(B75,ABST!B:B,ABST!C:C,,0),"-")</f>
        <v>-</v>
      </c>
      <c r="G75" t="str">
        <f>_xlfn.XLOOKUP(E75,CD_EQUIPES!A:A,CD_EQUIPES!B:B,,0)</f>
        <v>DIA</v>
      </c>
      <c r="H75">
        <f>_xlfn.XLOOKUP(TB_ATIVOS[[#This Row],[Chapa]],'8573'!D:D,'8573'!A:A,,0)</f>
        <v>181354</v>
      </c>
    </row>
    <row r="76" spans="1:8" x14ac:dyDescent="0.25">
      <c r="A76">
        <v>8180</v>
      </c>
      <c r="B76" t="s">
        <v>425</v>
      </c>
      <c r="C76" t="str">
        <f>_xlfn.TEXTBEFORE(B76, " ") &amp; " " &amp; _xlfn.TEXTAFTER(B76, " ", -1)</f>
        <v>GABRIEL SOUZA</v>
      </c>
      <c r="D76" t="s">
        <v>293</v>
      </c>
      <c r="E76" t="s">
        <v>336</v>
      </c>
      <c r="F76" s="2" t="str">
        <f>IFERROR(_xlfn.XLOOKUP(B76,ABST!B:B,ABST!C:C,,0),"-")</f>
        <v>-</v>
      </c>
      <c r="G76" t="str">
        <f>_xlfn.XLOOKUP(E76,CD_EQUIPES!A:A,CD_EQUIPES!B:B,,0)</f>
        <v>DIA</v>
      </c>
      <c r="H76">
        <f>_xlfn.XLOOKUP(TB_ATIVOS[[#This Row],[Chapa]],'8573'!D:D,'8573'!A:A,,0)</f>
        <v>181357</v>
      </c>
    </row>
    <row r="77" spans="1:8" x14ac:dyDescent="0.25">
      <c r="A77">
        <v>8182</v>
      </c>
      <c r="B77" t="s">
        <v>436</v>
      </c>
      <c r="C77" t="str">
        <f>_xlfn.TEXTBEFORE(B77, " ") &amp; " " &amp; _xlfn.TEXTAFTER(B77, " ", -1)</f>
        <v>VANELITO BARBOSA</v>
      </c>
      <c r="D77" t="s">
        <v>293</v>
      </c>
      <c r="E77" t="s">
        <v>336</v>
      </c>
      <c r="F77" s="2" t="str">
        <f>IFERROR(_xlfn.XLOOKUP(B77,ABST!B:B,ABST!C:C,,0),"-")</f>
        <v>-</v>
      </c>
      <c r="G77" t="str">
        <f>_xlfn.XLOOKUP(E77,CD_EQUIPES!A:A,CD_EQUIPES!B:B,,0)</f>
        <v>DIA</v>
      </c>
      <c r="H77">
        <f>_xlfn.XLOOKUP(TB_ATIVOS[[#This Row],[Chapa]],'8573'!D:D,'8573'!A:A,,0)</f>
        <v>181359</v>
      </c>
    </row>
    <row r="78" spans="1:8" x14ac:dyDescent="0.25">
      <c r="A78">
        <v>8191</v>
      </c>
      <c r="B78" t="s">
        <v>446</v>
      </c>
      <c r="C78" t="str">
        <f>_xlfn.TEXTBEFORE(B78, " ") &amp; " " &amp; _xlfn.TEXTAFTER(B78, " ", -1)</f>
        <v>KLEYBER PAIVA</v>
      </c>
      <c r="D78" t="s">
        <v>293</v>
      </c>
      <c r="E78" t="s">
        <v>336</v>
      </c>
      <c r="F78" s="2" t="str">
        <f>IFERROR(_xlfn.XLOOKUP(B78,ABST!B:B,ABST!C:C,,0),"-")</f>
        <v>-</v>
      </c>
      <c r="G78" t="str">
        <f>_xlfn.XLOOKUP(E78,CD_EQUIPES!A:A,CD_EQUIPES!B:B,,0)</f>
        <v>DIA</v>
      </c>
      <c r="H78">
        <f>_xlfn.XLOOKUP(TB_ATIVOS[[#This Row],[Chapa]],'8573'!D:D,'8573'!A:A,,0)</f>
        <v>181365</v>
      </c>
    </row>
    <row r="79" spans="1:8" x14ac:dyDescent="0.25">
      <c r="A79">
        <v>8200</v>
      </c>
      <c r="B79" t="s">
        <v>426</v>
      </c>
      <c r="C79" t="str">
        <f>_xlfn.TEXTBEFORE(B79, " ") &amp; " " &amp; _xlfn.TEXTAFTER(B79, " ", -1)</f>
        <v>CAUA SILVA</v>
      </c>
      <c r="D79" t="s">
        <v>293</v>
      </c>
      <c r="E79" t="s">
        <v>336</v>
      </c>
      <c r="F79" s="2" t="str">
        <f>IFERROR(_xlfn.XLOOKUP(B79,ABST!B:B,ABST!C:C,,0),"-")</f>
        <v>-</v>
      </c>
      <c r="G79" t="str">
        <f>_xlfn.XLOOKUP(E79,CD_EQUIPES!A:A,CD_EQUIPES!B:B,,0)</f>
        <v>DIA</v>
      </c>
      <c r="H79">
        <f>_xlfn.XLOOKUP(TB_ATIVOS[[#This Row],[Chapa]],'8573'!D:D,'8573'!A:A,,0)</f>
        <v>181369</v>
      </c>
    </row>
    <row r="80" spans="1:8" x14ac:dyDescent="0.25">
      <c r="A80">
        <v>8201</v>
      </c>
      <c r="B80" t="s">
        <v>432</v>
      </c>
      <c r="C80" t="str">
        <f>_xlfn.TEXTBEFORE(B80, " ") &amp; " " &amp; _xlfn.TEXTAFTER(B80, " ", -1)</f>
        <v>JULIO PORTO</v>
      </c>
      <c r="D80" t="s">
        <v>293</v>
      </c>
      <c r="E80" t="s">
        <v>336</v>
      </c>
      <c r="F80" s="2" t="str">
        <f>IFERROR(_xlfn.XLOOKUP(B80,ABST!B:B,ABST!C:C,,0),"-")</f>
        <v>-</v>
      </c>
      <c r="G80" t="str">
        <f>_xlfn.XLOOKUP(E80,CD_EQUIPES!A:A,CD_EQUIPES!B:B,,0)</f>
        <v>DIA</v>
      </c>
      <c r="H80">
        <f>_xlfn.XLOOKUP(TB_ATIVOS[[#This Row],[Chapa]],'8573'!D:D,'8573'!A:A,,0)</f>
        <v>181370</v>
      </c>
    </row>
    <row r="81" spans="1:8" x14ac:dyDescent="0.25">
      <c r="A81">
        <v>8197</v>
      </c>
      <c r="B81" t="s">
        <v>440</v>
      </c>
      <c r="C81" t="str">
        <f>_xlfn.TEXTBEFORE(B81, " ") &amp; " " &amp; _xlfn.TEXTAFTER(B81, " ", -1)</f>
        <v>PEDRO SANTANA</v>
      </c>
      <c r="D81" t="s">
        <v>293</v>
      </c>
      <c r="E81" t="s">
        <v>336</v>
      </c>
      <c r="F81" s="2" t="str">
        <f>IFERROR(_xlfn.XLOOKUP(B81,ABST!B:B,ABST!C:C,,0),"-")</f>
        <v>-</v>
      </c>
      <c r="G81" t="str">
        <f>_xlfn.XLOOKUP(E81,CD_EQUIPES!A:A,CD_EQUIPES!B:B,,0)</f>
        <v>DIA</v>
      </c>
      <c r="H81">
        <f>_xlfn.XLOOKUP(TB_ATIVOS[[#This Row],[Chapa]],'8573'!D:D,'8573'!A:A,,0)</f>
        <v>181372</v>
      </c>
    </row>
    <row r="82" spans="1:8" x14ac:dyDescent="0.25">
      <c r="A82">
        <v>8079</v>
      </c>
      <c r="B82" t="s">
        <v>314</v>
      </c>
      <c r="C82" t="str">
        <f>_xlfn.TEXTBEFORE(B82, " ") &amp; " " &amp; _xlfn.TEXTAFTER(B82, " ", -1)</f>
        <v>MARLENE ABREU</v>
      </c>
      <c r="D82" t="s">
        <v>293</v>
      </c>
      <c r="E82" t="s">
        <v>338</v>
      </c>
      <c r="F82" s="2" t="str">
        <f>IFERROR(_xlfn.XLOOKUP(B82,ABST!B:B,ABST!C:C,,0),"-")</f>
        <v>-</v>
      </c>
      <c r="G82" t="str">
        <f>_xlfn.XLOOKUP(E82,CD_EQUIPES!A:A,CD_EQUIPES!B:B,,0)</f>
        <v>NOITE</v>
      </c>
      <c r="H82">
        <f>_xlfn.XLOOKUP(TB_ATIVOS[[#This Row],[Chapa]],'8573'!D:D,'8573'!A:A,,0)</f>
        <v>181280</v>
      </c>
    </row>
    <row r="83" spans="1:8" x14ac:dyDescent="0.25">
      <c r="A83">
        <v>8075</v>
      </c>
      <c r="B83" t="s">
        <v>311</v>
      </c>
      <c r="C83" t="str">
        <f>_xlfn.TEXTBEFORE(B83, " ") &amp; " " &amp; _xlfn.TEXTAFTER(B83, " ", -1)</f>
        <v>LUIS BERTHOLDO</v>
      </c>
      <c r="D83" t="s">
        <v>293</v>
      </c>
      <c r="E83" t="s">
        <v>338</v>
      </c>
      <c r="F83" s="2" t="str">
        <f>IFERROR(_xlfn.XLOOKUP(B83,ABST!B:B,ABST!C:C,,0),"-")</f>
        <v>-</v>
      </c>
      <c r="G83" t="str">
        <f>_xlfn.XLOOKUP(E83,CD_EQUIPES!A:A,CD_EQUIPES!B:B,,0)</f>
        <v>NOITE</v>
      </c>
      <c r="H83">
        <f>_xlfn.XLOOKUP(TB_ATIVOS[[#This Row],[Chapa]],'8573'!D:D,'8573'!A:A,,0)</f>
        <v>181281</v>
      </c>
    </row>
    <row r="84" spans="1:8" x14ac:dyDescent="0.25">
      <c r="A84">
        <v>8078</v>
      </c>
      <c r="B84" t="s">
        <v>317</v>
      </c>
      <c r="C84" t="str">
        <f>_xlfn.TEXTBEFORE(B84, " ") &amp; " " &amp; _xlfn.TEXTAFTER(B84, " ", -1)</f>
        <v>ANDRIELE SA</v>
      </c>
      <c r="D84" t="s">
        <v>293</v>
      </c>
      <c r="E84" t="s">
        <v>338</v>
      </c>
      <c r="F84" s="2" t="str">
        <f>IFERROR(_xlfn.XLOOKUP(B84,ABST!B:B,ABST!C:C,,0),"-")</f>
        <v>-</v>
      </c>
      <c r="G84" t="str">
        <f>_xlfn.XLOOKUP(E84,CD_EQUIPES!A:A,CD_EQUIPES!B:B,,0)</f>
        <v>NOITE</v>
      </c>
      <c r="H84">
        <f>_xlfn.XLOOKUP(TB_ATIVOS[[#This Row],[Chapa]],'8573'!D:D,'8573'!A:A,,0)</f>
        <v>181282</v>
      </c>
    </row>
    <row r="85" spans="1:8" x14ac:dyDescent="0.25">
      <c r="A85">
        <v>8101</v>
      </c>
      <c r="B85" t="s">
        <v>298</v>
      </c>
      <c r="C85" t="str">
        <f>_xlfn.TEXTBEFORE(B85, " ") &amp; " " &amp; _xlfn.TEXTAFTER(B85, " ", -1)</f>
        <v>JHONATHAN ALENCAR</v>
      </c>
      <c r="D85" t="s">
        <v>293</v>
      </c>
      <c r="E85" t="s">
        <v>334</v>
      </c>
      <c r="F85" s="2" t="str">
        <f>IFERROR(_xlfn.XLOOKUP(B85,ABST!B:B,ABST!C:C,,0),"-")</f>
        <v>ABASTECEDOR</v>
      </c>
      <c r="G85" t="str">
        <f>_xlfn.XLOOKUP(E85,CD_EQUIPES!A:A,CD_EQUIPES!B:B,,0)</f>
        <v>NOITE</v>
      </c>
      <c r="H85">
        <f>_xlfn.XLOOKUP(TB_ATIVOS[[#This Row],[Chapa]],'8573'!D:D,'8573'!A:A,,0)</f>
        <v>181292</v>
      </c>
    </row>
    <row r="86" spans="1:8" x14ac:dyDescent="0.25">
      <c r="A86">
        <v>8131</v>
      </c>
      <c r="B86" t="s">
        <v>433</v>
      </c>
      <c r="C86" t="str">
        <f>_xlfn.TEXTBEFORE(B86, " ") &amp; " " &amp; _xlfn.TEXTAFTER(B86, " ", -1)</f>
        <v>NAYARA ROSA</v>
      </c>
      <c r="D86" t="s">
        <v>293</v>
      </c>
      <c r="E86" t="s">
        <v>338</v>
      </c>
      <c r="F86" s="2" t="str">
        <f>IFERROR(_xlfn.XLOOKUP(B86,ABST!B:B,ABST!C:C,,0),"-")</f>
        <v>-</v>
      </c>
      <c r="G86" t="str">
        <f>_xlfn.XLOOKUP(E86,CD_EQUIPES!A:A,CD_EQUIPES!B:B,,0)</f>
        <v>NOITE</v>
      </c>
      <c r="H86">
        <f>_xlfn.XLOOKUP(TB_ATIVOS[[#This Row],[Chapa]],'8573'!D:D,'8573'!A:A,,0)</f>
        <v>181332</v>
      </c>
    </row>
    <row r="87" spans="1:8" x14ac:dyDescent="0.25">
      <c r="A87">
        <v>8130</v>
      </c>
      <c r="B87" t="s">
        <v>435</v>
      </c>
      <c r="C87" t="str">
        <f>_xlfn.TEXTBEFORE(B87, " ") &amp; " " &amp; _xlfn.TEXTAFTER(B87, " ", -1)</f>
        <v>FABRICIO PEREIRA</v>
      </c>
      <c r="D87" t="s">
        <v>293</v>
      </c>
      <c r="E87" t="s">
        <v>338</v>
      </c>
      <c r="F87" s="2" t="str">
        <f>IFERROR(_xlfn.XLOOKUP(B87,ABST!B:B,ABST!C:C,,0),"-")</f>
        <v>-</v>
      </c>
      <c r="G87" t="str">
        <f>_xlfn.XLOOKUP(E87,CD_EQUIPES!A:A,CD_EQUIPES!B:B,,0)</f>
        <v>NOITE</v>
      </c>
      <c r="H87">
        <f>_xlfn.XLOOKUP(TB_ATIVOS[[#This Row],[Chapa]],'8573'!D:D,'8573'!A:A,,0)</f>
        <v>181334</v>
      </c>
    </row>
    <row r="88" spans="1:8" x14ac:dyDescent="0.25">
      <c r="A88">
        <v>8145</v>
      </c>
      <c r="B88" t="s">
        <v>443</v>
      </c>
      <c r="C88" t="str">
        <f>_xlfn.TEXTBEFORE(B88, " ") &amp; " " &amp; _xlfn.TEXTAFTER(B88, " ", -1)</f>
        <v>MARIA SILVA</v>
      </c>
      <c r="D88" t="s">
        <v>293</v>
      </c>
      <c r="E88" t="s">
        <v>337</v>
      </c>
      <c r="F88" s="2" t="str">
        <f>IFERROR(_xlfn.XLOOKUP(B88,ABST!B:B,ABST!C:C,,0),"-")</f>
        <v>-</v>
      </c>
      <c r="G88" t="str">
        <f>_xlfn.XLOOKUP(E88,CD_EQUIPES!A:A,CD_EQUIPES!B:B,,0)</f>
        <v>NOITE</v>
      </c>
      <c r="H88">
        <f>_xlfn.XLOOKUP(TB_ATIVOS[[#This Row],[Chapa]],'8573'!D:D,'8573'!A:A,,0)</f>
        <v>181340</v>
      </c>
    </row>
    <row r="89" spans="1:8" x14ac:dyDescent="0.25">
      <c r="A89">
        <v>8160</v>
      </c>
      <c r="B89" t="s">
        <v>445</v>
      </c>
      <c r="C89" t="str">
        <f>_xlfn.TEXTBEFORE(B89, " ") &amp; " " &amp; _xlfn.TEXTAFTER(B89, " ", -1)</f>
        <v>KASSIANE SEIXAS</v>
      </c>
      <c r="D89" t="s">
        <v>293</v>
      </c>
      <c r="E89" t="s">
        <v>338</v>
      </c>
      <c r="F89" s="2" t="str">
        <f>IFERROR(_xlfn.XLOOKUP(B89,ABST!B:B,ABST!C:C,,0),"-")</f>
        <v>-</v>
      </c>
      <c r="G89" t="str">
        <f>_xlfn.XLOOKUP(E89,CD_EQUIPES!A:A,CD_EQUIPES!B:B,,0)</f>
        <v>NOITE</v>
      </c>
      <c r="H89">
        <f>_xlfn.XLOOKUP(TB_ATIVOS[[#This Row],[Chapa]],'8573'!D:D,'8573'!A:A,,0)</f>
        <v>181349</v>
      </c>
    </row>
    <row r="90" spans="1:8" x14ac:dyDescent="0.25">
      <c r="A90">
        <v>8161</v>
      </c>
      <c r="B90" t="s">
        <v>450</v>
      </c>
      <c r="C90" t="str">
        <f>_xlfn.TEXTBEFORE(B90, " ") &amp; " " &amp; _xlfn.TEXTAFTER(B90, " ", -1)</f>
        <v>JULIA SILVA</v>
      </c>
      <c r="D90" t="s">
        <v>293</v>
      </c>
      <c r="E90" t="s">
        <v>338</v>
      </c>
      <c r="F90" s="2" t="str">
        <f>IFERROR(_xlfn.XLOOKUP(B90,ABST!B:B,ABST!C:C,,0),"-")</f>
        <v>-</v>
      </c>
      <c r="G90" t="str">
        <f>_xlfn.XLOOKUP(E90,CD_EQUIPES!A:A,CD_EQUIPES!B:B,,0)</f>
        <v>NOITE</v>
      </c>
      <c r="H90">
        <f>_xlfn.XLOOKUP(TB_ATIVOS[[#This Row],[Chapa]],'8573'!D:D,'8573'!A:A,,0)</f>
        <v>181350</v>
      </c>
    </row>
    <row r="91" spans="1:8" x14ac:dyDescent="0.25">
      <c r="A91">
        <v>8168</v>
      </c>
      <c r="B91" t="s">
        <v>442</v>
      </c>
      <c r="C91" t="str">
        <f>_xlfn.TEXTBEFORE(B91, " ") &amp; " " &amp; _xlfn.TEXTAFTER(B91, " ", -1)</f>
        <v>LUCELIA VIANA</v>
      </c>
      <c r="D91" t="s">
        <v>293</v>
      </c>
      <c r="E91" t="s">
        <v>338</v>
      </c>
      <c r="F91" s="2" t="str">
        <f>IFERROR(_xlfn.XLOOKUP(B91,ABST!B:B,ABST!C:C,,0),"-")</f>
        <v>-</v>
      </c>
      <c r="G91" t="str">
        <f>_xlfn.XLOOKUP(E91,CD_EQUIPES!A:A,CD_EQUIPES!B:B,,0)</f>
        <v>NOITE</v>
      </c>
      <c r="H91">
        <f>_xlfn.XLOOKUP(TB_ATIVOS[[#This Row],[Chapa]],'8573'!D:D,'8573'!A:A,,0)</f>
        <v>181351</v>
      </c>
    </row>
    <row r="92" spans="1:8" x14ac:dyDescent="0.25">
      <c r="A92">
        <v>8177</v>
      </c>
      <c r="B92" t="s">
        <v>438</v>
      </c>
      <c r="C92" t="str">
        <f>_xlfn.TEXTBEFORE(B92, " ") &amp; " " &amp; _xlfn.TEXTAFTER(B92, " ", -1)</f>
        <v>FABIO SILVA</v>
      </c>
      <c r="D92" t="s">
        <v>293</v>
      </c>
      <c r="E92" t="s">
        <v>335</v>
      </c>
      <c r="F92" s="2" t="str">
        <f>IFERROR(_xlfn.XLOOKUP(B92,ABST!B:B,ABST!C:C,,0),"-")</f>
        <v>-</v>
      </c>
      <c r="G92" t="str">
        <f>_xlfn.XLOOKUP(E92,CD_EQUIPES!A:A,CD_EQUIPES!B:B,,0)</f>
        <v>NOITE</v>
      </c>
      <c r="H92">
        <f>_xlfn.XLOOKUP(TB_ATIVOS[[#This Row],[Chapa]],'8573'!D:D,'8573'!A:A,,0)</f>
        <v>181356</v>
      </c>
    </row>
    <row r="93" spans="1:8" x14ac:dyDescent="0.25">
      <c r="A93">
        <v>8181</v>
      </c>
      <c r="B93" t="s">
        <v>434</v>
      </c>
      <c r="C93" t="str">
        <f>_xlfn.TEXTBEFORE(B93, " ") &amp; " " &amp; _xlfn.TEXTAFTER(B93, " ", -1)</f>
        <v>MARIA PINHEIRO</v>
      </c>
      <c r="D93" t="s">
        <v>293</v>
      </c>
      <c r="E93" t="s">
        <v>338</v>
      </c>
      <c r="F93" s="2" t="str">
        <f>IFERROR(_xlfn.XLOOKUP(B93,ABST!B:B,ABST!C:C,,0),"-")</f>
        <v>-</v>
      </c>
      <c r="G93" t="str">
        <f>_xlfn.XLOOKUP(E93,CD_EQUIPES!A:A,CD_EQUIPES!B:B,,0)</f>
        <v>NOITE</v>
      </c>
      <c r="H93">
        <f>_xlfn.XLOOKUP(TB_ATIVOS[[#This Row],[Chapa]],'8573'!D:D,'8573'!A:A,,0)</f>
        <v>181358</v>
      </c>
    </row>
    <row r="94" spans="1:8" x14ac:dyDescent="0.25">
      <c r="A94">
        <v>8190</v>
      </c>
      <c r="B94" t="s">
        <v>430</v>
      </c>
      <c r="C94" t="str">
        <f>_xlfn.TEXTBEFORE(B94, " ") &amp; " " &amp; _xlfn.TEXTAFTER(B94, " ", -1)</f>
        <v>JUNIOR SOUZA</v>
      </c>
      <c r="D94" t="s">
        <v>293</v>
      </c>
      <c r="E94" t="s">
        <v>335</v>
      </c>
      <c r="F94" s="2" t="str">
        <f>IFERROR(_xlfn.XLOOKUP(B94,ABST!B:B,ABST!C:C,,0),"-")</f>
        <v>-</v>
      </c>
      <c r="G94" t="str">
        <f>_xlfn.XLOOKUP(E94,CD_EQUIPES!A:A,CD_EQUIPES!B:B,,0)</f>
        <v>NOITE</v>
      </c>
      <c r="H94">
        <f>_xlfn.XLOOKUP(TB_ATIVOS[[#This Row],[Chapa]],'8573'!D:D,'8573'!A:A,,0)</f>
        <v>181366</v>
      </c>
    </row>
    <row r="95" spans="1:8" x14ac:dyDescent="0.25">
      <c r="A95">
        <v>8196</v>
      </c>
      <c r="B95" t="s">
        <v>448</v>
      </c>
      <c r="C95" t="str">
        <f>_xlfn.TEXTBEFORE(B95, " ") &amp; " " &amp; _xlfn.TEXTAFTER(B95, " ", -1)</f>
        <v>ADAILSON BRITO</v>
      </c>
      <c r="D95" t="s">
        <v>293</v>
      </c>
      <c r="E95" t="s">
        <v>335</v>
      </c>
      <c r="F95" s="2" t="str">
        <f>IFERROR(_xlfn.XLOOKUP(B95,ABST!B:B,ABST!C:C,,0),"-")</f>
        <v>-</v>
      </c>
      <c r="G95" t="str">
        <f>_xlfn.XLOOKUP(E95,CD_EQUIPES!A:A,CD_EQUIPES!B:B,,0)</f>
        <v>NOITE</v>
      </c>
      <c r="H95">
        <f>_xlfn.XLOOKUP(TB_ATIVOS[[#This Row],[Chapa]],'8573'!D:D,'8573'!A:A,,0)</f>
        <v>181368</v>
      </c>
    </row>
    <row r="96" spans="1:8" x14ac:dyDescent="0.25">
      <c r="A96">
        <v>8199</v>
      </c>
      <c r="B96" t="s">
        <v>427</v>
      </c>
      <c r="C96" t="str">
        <f>_xlfn.TEXTBEFORE(B96, " ") &amp; " " &amp; _xlfn.TEXTAFTER(B96, " ", -1)</f>
        <v>LEONARDO FARIA</v>
      </c>
      <c r="D96" t="s">
        <v>293</v>
      </c>
      <c r="E96" t="s">
        <v>338</v>
      </c>
      <c r="F96" s="2" t="str">
        <f>IFERROR(_xlfn.XLOOKUP(B96,ABST!B:B,ABST!C:C,,0),"-")</f>
        <v>-</v>
      </c>
      <c r="G96" t="str">
        <f>_xlfn.XLOOKUP(E96,CD_EQUIPES!A:A,CD_EQUIPES!B:B,,0)</f>
        <v>NOITE</v>
      </c>
      <c r="H96">
        <f>_xlfn.XLOOKUP(TB_ATIVOS[[#This Row],[Chapa]],'8573'!D:D,'8573'!A:A,,0)</f>
        <v>181371</v>
      </c>
    </row>
    <row r="97" spans="1:8" x14ac:dyDescent="0.25">
      <c r="A97">
        <v>3720</v>
      </c>
      <c r="B97" t="s">
        <v>342</v>
      </c>
      <c r="C97" t="str">
        <f>_xlfn.TEXTBEFORE(B97, " ") &amp; " " &amp; _xlfn.TEXTAFTER(B97, " ", -1)</f>
        <v>ANTONIA CAMPOS</v>
      </c>
      <c r="D97" t="s">
        <v>323</v>
      </c>
      <c r="E97" t="s">
        <v>343</v>
      </c>
      <c r="F97" s="2" t="str">
        <f>IFERROR(_xlfn.XLOOKUP(B97,ABST!B:B,ABST!C:C,,0),"-")</f>
        <v>-</v>
      </c>
      <c r="G97" t="str">
        <f>_xlfn.XLOOKUP(E97,CD_EQUIPES!A:A,CD_EQUIPES!B:B,,0)</f>
        <v>DIA</v>
      </c>
      <c r="H97">
        <f>_xlfn.XLOOKUP(TB_ATIVOS[[#This Row],[Chapa]],'8573'!D:D,'8573'!A:A,,0)</f>
        <v>100715</v>
      </c>
    </row>
    <row r="98" spans="1:8" x14ac:dyDescent="0.25">
      <c r="A98">
        <v>3822</v>
      </c>
      <c r="B98" t="s">
        <v>36</v>
      </c>
      <c r="C98" t="str">
        <f>_xlfn.TEXTBEFORE(B98, " ") &amp; " " &amp; _xlfn.TEXTAFTER(B98, " ", -1)</f>
        <v>CLERISTON NUNES</v>
      </c>
      <c r="D98" t="s">
        <v>323</v>
      </c>
      <c r="E98" t="s">
        <v>344</v>
      </c>
      <c r="F98" s="2" t="str">
        <f>IFERROR(_xlfn.XLOOKUP(B98,ABST!B:B,ABST!C:C,,0),"-")</f>
        <v>-</v>
      </c>
      <c r="G98" t="str">
        <f>_xlfn.XLOOKUP(E98,CD_EQUIPES!A:A,CD_EQUIPES!B:B,,0)</f>
        <v>DIA</v>
      </c>
      <c r="H98">
        <f>_xlfn.XLOOKUP(TB_ATIVOS[[#This Row],[Chapa]],'8573'!D:D,'8573'!A:A,,0)</f>
        <v>100765</v>
      </c>
    </row>
    <row r="99" spans="1:8" x14ac:dyDescent="0.25">
      <c r="A99">
        <v>3956</v>
      </c>
      <c r="B99" t="s">
        <v>49</v>
      </c>
      <c r="C99" t="str">
        <f>_xlfn.TEXTBEFORE(B99, " ") &amp; " " &amp; _xlfn.TEXTAFTER(B99, " ", -1)</f>
        <v>ELIEL GOMES</v>
      </c>
      <c r="D99" t="s">
        <v>323</v>
      </c>
      <c r="E99" t="s">
        <v>344</v>
      </c>
      <c r="F99" s="2" t="str">
        <f>IFERROR(_xlfn.XLOOKUP(B99,ABST!B:B,ABST!C:C,,0),"-")</f>
        <v>-</v>
      </c>
      <c r="G99" t="str">
        <f>_xlfn.XLOOKUP(E99,CD_EQUIPES!A:A,CD_EQUIPES!B:B,,0)</f>
        <v>DIA</v>
      </c>
      <c r="H99">
        <f>_xlfn.XLOOKUP(TB_ATIVOS[[#This Row],[Chapa]],'8573'!D:D,'8573'!A:A,,0)</f>
        <v>100846</v>
      </c>
    </row>
    <row r="100" spans="1:8" x14ac:dyDescent="0.25">
      <c r="A100">
        <v>4032</v>
      </c>
      <c r="B100" t="s">
        <v>35</v>
      </c>
      <c r="C100" t="str">
        <f>_xlfn.TEXTBEFORE(B100, " ") &amp; " " &amp; _xlfn.TEXTAFTER(B100, " ", -1)</f>
        <v>CLEITON SIDNEI</v>
      </c>
      <c r="D100" t="s">
        <v>323</v>
      </c>
      <c r="E100" t="s">
        <v>344</v>
      </c>
      <c r="F100" s="2" t="str">
        <f>IFERROR(_xlfn.XLOOKUP(B100,ABST!B:B,ABST!C:C,,0),"-")</f>
        <v>-</v>
      </c>
      <c r="G100" t="str">
        <f>_xlfn.XLOOKUP(E100,CD_EQUIPES!A:A,CD_EQUIPES!B:B,,0)</f>
        <v>DIA</v>
      </c>
      <c r="H100">
        <f>_xlfn.XLOOKUP(TB_ATIVOS[[#This Row],[Chapa]],'8573'!D:D,'8573'!A:A,,0)</f>
        <v>100879</v>
      </c>
    </row>
    <row r="101" spans="1:8" x14ac:dyDescent="0.25">
      <c r="A101">
        <v>4409</v>
      </c>
      <c r="B101" t="s">
        <v>149</v>
      </c>
      <c r="C101" t="str">
        <f>_xlfn.TEXTBEFORE(B101, " ") &amp; " " &amp; _xlfn.TEXTAFTER(B101, " ", -1)</f>
        <v>RAILANE SILVA</v>
      </c>
      <c r="D101" t="s">
        <v>323</v>
      </c>
      <c r="E101" t="s">
        <v>343</v>
      </c>
      <c r="F101" s="2" t="str">
        <f>IFERROR(_xlfn.XLOOKUP(B101,ABST!B:B,ABST!C:C,,0),"-")</f>
        <v>-</v>
      </c>
      <c r="G101" t="str">
        <f>_xlfn.XLOOKUP(E101,CD_EQUIPES!A:A,CD_EQUIPES!B:B,,0)</f>
        <v>DIA</v>
      </c>
      <c r="H101">
        <f>_xlfn.XLOOKUP(TB_ATIVOS[[#This Row],[Chapa]],'8573'!D:D,'8573'!A:A,,0)</f>
        <v>101068</v>
      </c>
    </row>
    <row r="102" spans="1:8" x14ac:dyDescent="0.25">
      <c r="A102">
        <v>4835</v>
      </c>
      <c r="B102" t="s">
        <v>27</v>
      </c>
      <c r="C102" t="str">
        <f>_xlfn.TEXTBEFORE(B102, " ") &amp; " " &amp; _xlfn.TEXTAFTER(B102, " ", -1)</f>
        <v>CARLOS DANTAS</v>
      </c>
      <c r="D102" t="s">
        <v>323</v>
      </c>
      <c r="E102" t="s">
        <v>344</v>
      </c>
      <c r="F102" s="2" t="str">
        <f>IFERROR(_xlfn.XLOOKUP(B102,ABST!B:B,ABST!C:C,,0),"-")</f>
        <v>-</v>
      </c>
      <c r="G102" t="str">
        <f>_xlfn.XLOOKUP(E102,CD_EQUIPES!A:A,CD_EQUIPES!B:B,,0)</f>
        <v>DIA</v>
      </c>
      <c r="H102">
        <f>_xlfn.XLOOKUP(TB_ATIVOS[[#This Row],[Chapa]],'8573'!D:D,'8573'!A:A,,0)</f>
        <v>122193</v>
      </c>
    </row>
    <row r="103" spans="1:8" x14ac:dyDescent="0.25">
      <c r="A103">
        <v>6193</v>
      </c>
      <c r="B103" t="s">
        <v>135</v>
      </c>
      <c r="C103" t="str">
        <f>_xlfn.TEXTBEFORE(B103, " ") &amp; " " &amp; _xlfn.TEXTAFTER(B103, " ", -1)</f>
        <v>MARCONI CORREIA</v>
      </c>
      <c r="D103" t="s">
        <v>323</v>
      </c>
      <c r="E103" t="s">
        <v>350</v>
      </c>
      <c r="F103" s="2" t="str">
        <f>IFERROR(_xlfn.XLOOKUP(B103,ABST!B:B,ABST!C:C,,0),"-")</f>
        <v>-</v>
      </c>
      <c r="G103" t="str">
        <f>_xlfn.XLOOKUP(E103,CD_EQUIPES!A:A,CD_EQUIPES!B:B,,0)</f>
        <v>DIA</v>
      </c>
      <c r="H103">
        <f>_xlfn.XLOOKUP(TB_ATIVOS[[#This Row],[Chapa]],'8573'!D:D,'8573'!A:A,,0)</f>
        <v>122681</v>
      </c>
    </row>
    <row r="104" spans="1:8" x14ac:dyDescent="0.25">
      <c r="A104">
        <v>6260</v>
      </c>
      <c r="B104" t="s">
        <v>102</v>
      </c>
      <c r="C104" t="str">
        <f>_xlfn.TEXTBEFORE(B104, " ") &amp; " " &amp; _xlfn.TEXTAFTER(B104, " ", -1)</f>
        <v>JOSUE SOUSA</v>
      </c>
      <c r="D104" t="s">
        <v>323</v>
      </c>
      <c r="E104" t="s">
        <v>347</v>
      </c>
      <c r="F104" s="2" t="str">
        <f>IFERROR(_xlfn.XLOOKUP(B104,ABST!B:B,ABST!C:C,,0),"-")</f>
        <v>ABASTECEDOR</v>
      </c>
      <c r="G104" t="str">
        <f>_xlfn.XLOOKUP(E104,CD_EQUIPES!A:A,CD_EQUIPES!B:B,,0)</f>
        <v>DIA</v>
      </c>
      <c r="H104">
        <f>_xlfn.XLOOKUP(TB_ATIVOS[[#This Row],[Chapa]],'8573'!D:D,'8573'!A:A,,0)</f>
        <v>122716</v>
      </c>
    </row>
    <row r="105" spans="1:8" x14ac:dyDescent="0.25">
      <c r="A105">
        <v>6368</v>
      </c>
      <c r="B105" t="s">
        <v>66</v>
      </c>
      <c r="C105" t="str">
        <f>_xlfn.TEXTBEFORE(B105, " ") &amp; " " &amp; _xlfn.TEXTAFTER(B105, " ", -1)</f>
        <v>FRANCISCO BRITO</v>
      </c>
      <c r="D105" t="s">
        <v>323</v>
      </c>
      <c r="E105" t="s">
        <v>344</v>
      </c>
      <c r="F105" s="2" t="str">
        <f>IFERROR(_xlfn.XLOOKUP(B105,ABST!B:B,ABST!C:C,,0),"-")</f>
        <v>-</v>
      </c>
      <c r="G105" t="str">
        <f>_xlfn.XLOOKUP(E105,CD_EQUIPES!A:A,CD_EQUIPES!B:B,,0)</f>
        <v>DIA</v>
      </c>
      <c r="H105">
        <f>_xlfn.XLOOKUP(TB_ATIVOS[[#This Row],[Chapa]],'8573'!D:D,'8573'!A:A,,0)</f>
        <v>180020</v>
      </c>
    </row>
    <row r="106" spans="1:8" x14ac:dyDescent="0.25">
      <c r="A106">
        <v>6374</v>
      </c>
      <c r="B106" t="s">
        <v>126</v>
      </c>
      <c r="C106" t="str">
        <f>_xlfn.TEXTBEFORE(B106, " ") &amp; " " &amp; _xlfn.TEXTAFTER(B106, " ", -1)</f>
        <v>LUIZ SILVA</v>
      </c>
      <c r="D106" t="s">
        <v>323</v>
      </c>
      <c r="E106" t="s">
        <v>344</v>
      </c>
      <c r="F106" s="2" t="str">
        <f>IFERROR(_xlfn.XLOOKUP(B106,ABST!B:B,ABST!C:C,,0),"-")</f>
        <v>-</v>
      </c>
      <c r="G106" t="str">
        <f>_xlfn.XLOOKUP(E106,CD_EQUIPES!A:A,CD_EQUIPES!B:B,,0)</f>
        <v>DIA</v>
      </c>
      <c r="H106">
        <f>_xlfn.XLOOKUP(TB_ATIVOS[[#This Row],[Chapa]],'8573'!D:D,'8573'!A:A,,0)</f>
        <v>180023</v>
      </c>
    </row>
    <row r="107" spans="1:8" x14ac:dyDescent="0.25">
      <c r="A107">
        <v>6389</v>
      </c>
      <c r="B107" t="s">
        <v>21</v>
      </c>
      <c r="C107" t="str">
        <f>_xlfn.TEXTBEFORE(B107, " ") &amp; " " &amp; _xlfn.TEXTAFTER(B107, " ", -1)</f>
        <v>BRUNO GOMES</v>
      </c>
      <c r="D107" t="s">
        <v>323</v>
      </c>
      <c r="E107" t="s">
        <v>344</v>
      </c>
      <c r="F107" s="2" t="str">
        <f>IFERROR(_xlfn.XLOOKUP(B107,ABST!B:B,ABST!C:C,,0),"-")</f>
        <v>-</v>
      </c>
      <c r="G107" t="str">
        <f>_xlfn.XLOOKUP(E107,CD_EQUIPES!A:A,CD_EQUIPES!B:B,,0)</f>
        <v>DIA</v>
      </c>
      <c r="H107">
        <f>_xlfn.XLOOKUP(TB_ATIVOS[[#This Row],[Chapa]],'8573'!D:D,'8573'!A:A,,0)</f>
        <v>180026</v>
      </c>
    </row>
    <row r="108" spans="1:8" x14ac:dyDescent="0.25">
      <c r="A108">
        <v>6507</v>
      </c>
      <c r="B108" t="s">
        <v>163</v>
      </c>
      <c r="C108" t="str">
        <f>_xlfn.TEXTBEFORE(B108, " ") &amp; " " &amp; _xlfn.TEXTAFTER(B108, " ", -1)</f>
        <v>SUZANE OLIVEIRA</v>
      </c>
      <c r="D108" t="s">
        <v>323</v>
      </c>
      <c r="E108" t="s">
        <v>344</v>
      </c>
      <c r="F108" s="2" t="str">
        <f>IFERROR(_xlfn.XLOOKUP(B108,ABST!B:B,ABST!C:C,,0),"-")</f>
        <v>-</v>
      </c>
      <c r="G108" t="str">
        <f>_xlfn.XLOOKUP(E108,CD_EQUIPES!A:A,CD_EQUIPES!B:B,,0)</f>
        <v>DIA</v>
      </c>
      <c r="H108">
        <f>_xlfn.XLOOKUP(TB_ATIVOS[[#This Row],[Chapa]],'8573'!D:D,'8573'!A:A,,0)</f>
        <v>180079</v>
      </c>
    </row>
    <row r="109" spans="1:8" x14ac:dyDescent="0.25">
      <c r="A109">
        <v>6535</v>
      </c>
      <c r="B109" t="s">
        <v>16</v>
      </c>
      <c r="C109" t="str">
        <f>_xlfn.TEXTBEFORE(B109, " ") &amp; " " &amp; _xlfn.TEXTAFTER(B109, " ", -1)</f>
        <v>ARIANE SILVA</v>
      </c>
      <c r="D109" t="s">
        <v>323</v>
      </c>
      <c r="E109" t="s">
        <v>343</v>
      </c>
      <c r="F109" s="2" t="str">
        <f>IFERROR(_xlfn.XLOOKUP(B109,ABST!B:B,ABST!C:C,,0),"-")</f>
        <v>-</v>
      </c>
      <c r="G109" t="str">
        <f>_xlfn.XLOOKUP(E109,CD_EQUIPES!A:A,CD_EQUIPES!B:B,,0)</f>
        <v>DIA</v>
      </c>
      <c r="H109">
        <f>_xlfn.XLOOKUP(TB_ATIVOS[[#This Row],[Chapa]],'8573'!D:D,'8573'!A:A,,0)</f>
        <v>180099</v>
      </c>
    </row>
    <row r="110" spans="1:8" x14ac:dyDescent="0.25">
      <c r="A110">
        <v>6539</v>
      </c>
      <c r="B110" t="s">
        <v>120</v>
      </c>
      <c r="C110" t="str">
        <f>_xlfn.TEXTBEFORE(B110, " ") &amp; " " &amp; _xlfn.TEXTAFTER(B110, " ", -1)</f>
        <v>LUCELIA ARAUJO</v>
      </c>
      <c r="D110" t="s">
        <v>323</v>
      </c>
      <c r="E110" t="s">
        <v>344</v>
      </c>
      <c r="F110" s="2" t="str">
        <f>IFERROR(_xlfn.XLOOKUP(B110,ABST!B:B,ABST!C:C,,0),"-")</f>
        <v>-</v>
      </c>
      <c r="G110" t="str">
        <f>_xlfn.XLOOKUP(E110,CD_EQUIPES!A:A,CD_EQUIPES!B:B,,0)</f>
        <v>DIA</v>
      </c>
      <c r="H110">
        <f>_xlfn.XLOOKUP(TB_ATIVOS[[#This Row],[Chapa]],'8573'!D:D,'8573'!A:A,,0)</f>
        <v>180102</v>
      </c>
    </row>
    <row r="111" spans="1:8" x14ac:dyDescent="0.25">
      <c r="A111">
        <v>6681</v>
      </c>
      <c r="B111" t="s">
        <v>23</v>
      </c>
      <c r="C111" t="str">
        <f>_xlfn.TEXTBEFORE(B111, " ") &amp; " " &amp; _xlfn.TEXTAFTER(B111, " ", -1)</f>
        <v>CAIO PEREIRA</v>
      </c>
      <c r="D111" t="s">
        <v>323</v>
      </c>
      <c r="E111" t="s">
        <v>350</v>
      </c>
      <c r="F111" s="2" t="str">
        <f>IFERROR(_xlfn.XLOOKUP(B111,ABST!B:B,ABST!C:C,,0),"-")</f>
        <v>-</v>
      </c>
      <c r="G111" t="str">
        <f>_xlfn.XLOOKUP(E111,CD_EQUIPES!A:A,CD_EQUIPES!B:B,,0)</f>
        <v>DIA</v>
      </c>
      <c r="H111">
        <f>_xlfn.XLOOKUP(TB_ATIVOS[[#This Row],[Chapa]],'8573'!D:D,'8573'!A:A,,0)</f>
        <v>180162</v>
      </c>
    </row>
    <row r="112" spans="1:8" x14ac:dyDescent="0.25">
      <c r="A112">
        <v>6830</v>
      </c>
      <c r="B112" t="s">
        <v>63</v>
      </c>
      <c r="C112" t="str">
        <f>_xlfn.TEXTBEFORE(B112, " ") &amp; " " &amp; _xlfn.TEXTAFTER(B112, " ", -1)</f>
        <v>FRANCISCA CARNEIRO</v>
      </c>
      <c r="D112" t="s">
        <v>323</v>
      </c>
      <c r="E112" t="s">
        <v>344</v>
      </c>
      <c r="F112" s="2" t="str">
        <f>IFERROR(_xlfn.XLOOKUP(B112,ABST!B:B,ABST!C:C,,0),"-")</f>
        <v>-</v>
      </c>
      <c r="G112" t="str">
        <f>_xlfn.XLOOKUP(E112,CD_EQUIPES!A:A,CD_EQUIPES!B:B,,0)</f>
        <v>DIA</v>
      </c>
      <c r="H112">
        <f>_xlfn.XLOOKUP(TB_ATIVOS[[#This Row],[Chapa]],'8573'!D:D,'8573'!A:A,,0)</f>
        <v>180248</v>
      </c>
    </row>
    <row r="113" spans="1:8" x14ac:dyDescent="0.25">
      <c r="A113">
        <v>6901</v>
      </c>
      <c r="B113" t="s">
        <v>77</v>
      </c>
      <c r="C113" t="str">
        <f>_xlfn.TEXTBEFORE(B113, " ") &amp; " " &amp; _xlfn.TEXTAFTER(B113, " ", -1)</f>
        <v>GRAZIELLE SANTOS</v>
      </c>
      <c r="D113" t="s">
        <v>323</v>
      </c>
      <c r="E113" t="s">
        <v>344</v>
      </c>
      <c r="F113" s="2" t="str">
        <f>IFERROR(_xlfn.XLOOKUP(B113,ABST!B:B,ABST!C:C,,0),"-")</f>
        <v>-</v>
      </c>
      <c r="G113" t="str">
        <f>_xlfn.XLOOKUP(E113,CD_EQUIPES!A:A,CD_EQUIPES!B:B,,0)</f>
        <v>DIA</v>
      </c>
      <c r="H113">
        <f>_xlfn.XLOOKUP(TB_ATIVOS[[#This Row],[Chapa]],'8573'!D:D,'8573'!A:A,,0)</f>
        <v>180288</v>
      </c>
    </row>
    <row r="114" spans="1:8" x14ac:dyDescent="0.25">
      <c r="A114">
        <v>7017</v>
      </c>
      <c r="B114" t="s">
        <v>166</v>
      </c>
      <c r="C114" t="str">
        <f>_xlfn.TEXTBEFORE(B114, " ") &amp; " " &amp; _xlfn.TEXTAFTER(B114, " ", -1)</f>
        <v>TAYNARA ALMEIDA</v>
      </c>
      <c r="D114" t="s">
        <v>323</v>
      </c>
      <c r="E114" t="s">
        <v>344</v>
      </c>
      <c r="F114" s="2" t="str">
        <f>IFERROR(_xlfn.XLOOKUP(B114,ABST!B:B,ABST!C:C,,0),"-")</f>
        <v>-</v>
      </c>
      <c r="G114" t="str">
        <f>_xlfn.XLOOKUP(E114,CD_EQUIPES!A:A,CD_EQUIPES!B:B,,0)</f>
        <v>DIA</v>
      </c>
      <c r="H114">
        <f>_xlfn.XLOOKUP(TB_ATIVOS[[#This Row],[Chapa]],'8573'!D:D,'8573'!A:A,,0)</f>
        <v>180744</v>
      </c>
    </row>
    <row r="115" spans="1:8" x14ac:dyDescent="0.25">
      <c r="A115">
        <v>7022</v>
      </c>
      <c r="B115" t="s">
        <v>101</v>
      </c>
      <c r="C115" t="str">
        <f>_xlfn.TEXTBEFORE(B115, " ") &amp; " " &amp; _xlfn.TEXTAFTER(B115, " ", -1)</f>
        <v>JOSIVALDO MORAIS</v>
      </c>
      <c r="D115" t="s">
        <v>323</v>
      </c>
      <c r="E115" t="s">
        <v>336</v>
      </c>
      <c r="F115" s="2" t="str">
        <f>IFERROR(_xlfn.XLOOKUP(B115,ABST!B:B,ABST!C:C,,0),"-")</f>
        <v>-</v>
      </c>
      <c r="G115" t="str">
        <f>_xlfn.XLOOKUP(E115,CD_EQUIPES!A:A,CD_EQUIPES!B:B,,0)</f>
        <v>DIA</v>
      </c>
      <c r="H115">
        <f>_xlfn.XLOOKUP(TB_ATIVOS[[#This Row],[Chapa]],'8573'!D:D,'8573'!A:A,,0)</f>
        <v>180746</v>
      </c>
    </row>
    <row r="116" spans="1:8" x14ac:dyDescent="0.25">
      <c r="A116">
        <v>7132</v>
      </c>
      <c r="B116" t="s">
        <v>140</v>
      </c>
      <c r="C116" t="str">
        <f>_xlfn.TEXTBEFORE(B116, " ") &amp; " " &amp; _xlfn.TEXTAFTER(B116, " ", -1)</f>
        <v>MATEUS SANTOS</v>
      </c>
      <c r="D116" t="s">
        <v>323</v>
      </c>
      <c r="E116" t="s">
        <v>347</v>
      </c>
      <c r="F116" s="2" t="str">
        <f>IFERROR(_xlfn.XLOOKUP(B116,ABST!B:B,ABST!C:C,,0),"-")</f>
        <v>ABASTECEDOR</v>
      </c>
      <c r="G116" t="str">
        <f>_xlfn.XLOOKUP(E116,CD_EQUIPES!A:A,CD_EQUIPES!B:B,,0)</f>
        <v>DIA</v>
      </c>
      <c r="H116">
        <f>_xlfn.XLOOKUP(TB_ATIVOS[[#This Row],[Chapa]],'8573'!D:D,'8573'!A:A,,0)</f>
        <v>180794</v>
      </c>
    </row>
    <row r="117" spans="1:8" x14ac:dyDescent="0.25">
      <c r="A117">
        <v>7141</v>
      </c>
      <c r="B117" t="s">
        <v>43</v>
      </c>
      <c r="C117" t="str">
        <f>_xlfn.TEXTBEFORE(B117, " ") &amp; " " &amp; _xlfn.TEXTAFTER(B117, " ", -1)</f>
        <v>DOUGLAS JUNIOR</v>
      </c>
      <c r="D117" t="s">
        <v>323</v>
      </c>
      <c r="E117" t="s">
        <v>344</v>
      </c>
      <c r="F117" s="2" t="str">
        <f>IFERROR(_xlfn.XLOOKUP(B117,ABST!B:B,ABST!C:C,,0),"-")</f>
        <v>-</v>
      </c>
      <c r="G117" t="str">
        <f>_xlfn.XLOOKUP(E117,CD_EQUIPES!A:A,CD_EQUIPES!B:B,,0)</f>
        <v>DIA</v>
      </c>
      <c r="H117">
        <f>_xlfn.XLOOKUP(TB_ATIVOS[[#This Row],[Chapa]],'8573'!D:D,'8573'!A:A,,0)</f>
        <v>180797</v>
      </c>
    </row>
    <row r="118" spans="1:8" x14ac:dyDescent="0.25">
      <c r="A118">
        <v>7187</v>
      </c>
      <c r="B118" t="s">
        <v>87</v>
      </c>
      <c r="C118" t="str">
        <f>_xlfn.TEXTBEFORE(B118, " ") &amp; " " &amp; _xlfn.TEXTAFTER(B118, " ", -1)</f>
        <v>JEAN ALMEIDA</v>
      </c>
      <c r="D118" t="s">
        <v>323</v>
      </c>
      <c r="E118" t="s">
        <v>344</v>
      </c>
      <c r="F118" s="2" t="str">
        <f>IFERROR(_xlfn.XLOOKUP(B118,ABST!B:B,ABST!C:C,,0),"-")</f>
        <v>-</v>
      </c>
      <c r="G118" t="str">
        <f>_xlfn.XLOOKUP(E118,CD_EQUIPES!A:A,CD_EQUIPES!B:B,,0)</f>
        <v>DIA</v>
      </c>
      <c r="H118">
        <f>_xlfn.XLOOKUP(TB_ATIVOS[[#This Row],[Chapa]],'8573'!D:D,'8573'!A:A,,0)</f>
        <v>180818</v>
      </c>
    </row>
    <row r="119" spans="1:8" x14ac:dyDescent="0.25">
      <c r="A119">
        <v>7270</v>
      </c>
      <c r="B119" t="s">
        <v>139</v>
      </c>
      <c r="C119" t="str">
        <f>_xlfn.TEXTBEFORE(B119, " ") &amp; " " &amp; _xlfn.TEXTAFTER(B119, " ", -1)</f>
        <v>MARIA AIRES</v>
      </c>
      <c r="D119" t="s">
        <v>323</v>
      </c>
      <c r="E119" t="s">
        <v>344</v>
      </c>
      <c r="F119" s="2" t="str">
        <f>IFERROR(_xlfn.XLOOKUP(B119,ABST!B:B,ABST!C:C,,0),"-")</f>
        <v>-</v>
      </c>
      <c r="G119" t="str">
        <f>_xlfn.XLOOKUP(E119,CD_EQUIPES!A:A,CD_EQUIPES!B:B,,0)</f>
        <v>DIA</v>
      </c>
      <c r="H119">
        <f>_xlfn.XLOOKUP(TB_ATIVOS[[#This Row],[Chapa]],'8573'!D:D,'8573'!A:A,,0)</f>
        <v>180866</v>
      </c>
    </row>
    <row r="120" spans="1:8" x14ac:dyDescent="0.25">
      <c r="A120">
        <v>7315</v>
      </c>
      <c r="B120" t="s">
        <v>70</v>
      </c>
      <c r="C120" t="str">
        <f>_xlfn.TEXTBEFORE(B120, " ") &amp; " " &amp; _xlfn.TEXTAFTER(B120, " ", -1)</f>
        <v>GABRIEL MIRANDA</v>
      </c>
      <c r="D120" t="s">
        <v>323</v>
      </c>
      <c r="E120" t="s">
        <v>347</v>
      </c>
      <c r="F120" s="2" t="str">
        <f>IFERROR(_xlfn.XLOOKUP(B120,ABST!B:B,ABST!C:C,,0),"-")</f>
        <v>ABASTECEDOR</v>
      </c>
      <c r="G120" t="str">
        <f>_xlfn.XLOOKUP(E120,CD_EQUIPES!A:A,CD_EQUIPES!B:B,,0)</f>
        <v>DIA</v>
      </c>
      <c r="H120">
        <f>_xlfn.XLOOKUP(TB_ATIVOS[[#This Row],[Chapa]],'8573'!D:D,'8573'!A:A,,0)</f>
        <v>180889</v>
      </c>
    </row>
    <row r="121" spans="1:8" x14ac:dyDescent="0.25">
      <c r="A121">
        <v>7351</v>
      </c>
      <c r="B121" t="s">
        <v>96</v>
      </c>
      <c r="C121" t="str">
        <f>_xlfn.TEXTBEFORE(B121, " ") &amp; " " &amp; _xlfn.TEXTAFTER(B121, " ", -1)</f>
        <v>JORGE FILHO</v>
      </c>
      <c r="D121" t="s">
        <v>323</v>
      </c>
      <c r="E121" t="s">
        <v>350</v>
      </c>
      <c r="F121" s="2" t="str">
        <f>IFERROR(_xlfn.XLOOKUP(B121,ABST!B:B,ABST!C:C,,0),"-")</f>
        <v>-</v>
      </c>
      <c r="G121" t="str">
        <f>_xlfn.XLOOKUP(E121,CD_EQUIPES!A:A,CD_EQUIPES!B:B,,0)</f>
        <v>DIA</v>
      </c>
      <c r="H121">
        <f>_xlfn.XLOOKUP(TB_ATIVOS[[#This Row],[Chapa]],'8573'!D:D,'8573'!A:A,,0)</f>
        <v>180899</v>
      </c>
    </row>
    <row r="122" spans="1:8" x14ac:dyDescent="0.25">
      <c r="A122">
        <v>7360</v>
      </c>
      <c r="B122" t="s">
        <v>177</v>
      </c>
      <c r="C122" t="str">
        <f>_xlfn.TEXTBEFORE(B122, " ") &amp; " " &amp; _xlfn.TEXTAFTER(B122, " ", -1)</f>
        <v>WARLEN DOURADO</v>
      </c>
      <c r="D122" t="s">
        <v>323</v>
      </c>
      <c r="E122" t="s">
        <v>344</v>
      </c>
      <c r="F122" s="2" t="str">
        <f>IFERROR(_xlfn.XLOOKUP(B122,ABST!B:B,ABST!C:C,,0),"-")</f>
        <v>-</v>
      </c>
      <c r="G122" t="str">
        <f>_xlfn.XLOOKUP(E122,CD_EQUIPES!A:A,CD_EQUIPES!B:B,,0)</f>
        <v>DIA</v>
      </c>
      <c r="H122">
        <f>_xlfn.XLOOKUP(TB_ATIVOS[[#This Row],[Chapa]],'8573'!D:D,'8573'!A:A,,0)</f>
        <v>180900</v>
      </c>
    </row>
    <row r="123" spans="1:8" x14ac:dyDescent="0.25">
      <c r="A123">
        <v>7376</v>
      </c>
      <c r="B123" t="s">
        <v>153</v>
      </c>
      <c r="C123" t="str">
        <f>_xlfn.TEXTBEFORE(B123, " ") &amp; " " &amp; _xlfn.TEXTAFTER(B123, " ", -1)</f>
        <v>REGINALDO SILVA</v>
      </c>
      <c r="D123" t="s">
        <v>323</v>
      </c>
      <c r="E123" t="s">
        <v>347</v>
      </c>
      <c r="F123" s="2" t="str">
        <f>IFERROR(_xlfn.XLOOKUP(B123,ABST!B:B,ABST!C:C,,0),"-")</f>
        <v>ABASTECEDOR</v>
      </c>
      <c r="G123" t="str">
        <f>_xlfn.XLOOKUP(E123,CD_EQUIPES!A:A,CD_EQUIPES!B:B,,0)</f>
        <v>DIA</v>
      </c>
      <c r="H123">
        <f>_xlfn.XLOOKUP(TB_ATIVOS[[#This Row],[Chapa]],'8573'!D:D,'8573'!A:A,,0)</f>
        <v>180906</v>
      </c>
    </row>
    <row r="124" spans="1:8" x14ac:dyDescent="0.25">
      <c r="A124">
        <v>7408</v>
      </c>
      <c r="B124" t="s">
        <v>119</v>
      </c>
      <c r="C124" t="str">
        <f>_xlfn.TEXTBEFORE(B124, " ") &amp; " " &amp; _xlfn.TEXTAFTER(B124, " ", -1)</f>
        <v>LUCAS SANTOS</v>
      </c>
      <c r="D124" t="s">
        <v>323</v>
      </c>
      <c r="E124" t="s">
        <v>347</v>
      </c>
      <c r="F124" s="2" t="str">
        <f>IFERROR(_xlfn.XLOOKUP(B124,ABST!B:B,ABST!C:C,,0),"-")</f>
        <v>ABASTECEDOR</v>
      </c>
      <c r="G124" t="str">
        <f>_xlfn.XLOOKUP(E124,CD_EQUIPES!A:A,CD_EQUIPES!B:B,,0)</f>
        <v>DIA</v>
      </c>
      <c r="H124">
        <f>_xlfn.XLOOKUP(TB_ATIVOS[[#This Row],[Chapa]],'8573'!D:D,'8573'!A:A,,0)</f>
        <v>180917</v>
      </c>
    </row>
    <row r="125" spans="1:8" x14ac:dyDescent="0.25">
      <c r="A125">
        <v>7414</v>
      </c>
      <c r="B125" t="s">
        <v>117</v>
      </c>
      <c r="C125" t="str">
        <f>_xlfn.TEXTBEFORE(B125, " ") &amp; " " &amp; _xlfn.TEXTAFTER(B125, " ", -1)</f>
        <v>LUCAS SILVA</v>
      </c>
      <c r="D125" t="s">
        <v>323</v>
      </c>
      <c r="E125" t="s">
        <v>347</v>
      </c>
      <c r="F125" s="2" t="str">
        <f>IFERROR(_xlfn.XLOOKUP(B125,ABST!B:B,ABST!C:C,,0),"-")</f>
        <v>ABASTECEDOR</v>
      </c>
      <c r="G125" t="str">
        <f>_xlfn.XLOOKUP(E125,CD_EQUIPES!A:A,CD_EQUIPES!B:B,,0)</f>
        <v>DIA</v>
      </c>
      <c r="H125">
        <f>_xlfn.XLOOKUP(TB_ATIVOS[[#This Row],[Chapa]],'8573'!D:D,'8573'!A:A,,0)</f>
        <v>180919</v>
      </c>
    </row>
    <row r="126" spans="1:8" x14ac:dyDescent="0.25">
      <c r="A126">
        <v>7415</v>
      </c>
      <c r="B126" t="s">
        <v>100</v>
      </c>
      <c r="C126" t="str">
        <f>_xlfn.TEXTBEFORE(B126, " ") &amp; " " &amp; _xlfn.TEXTAFTER(B126, " ", -1)</f>
        <v>JOSIVALDO FEITOSA</v>
      </c>
      <c r="D126" t="s">
        <v>323</v>
      </c>
      <c r="E126" t="s">
        <v>347</v>
      </c>
      <c r="F126" s="2" t="str">
        <f>IFERROR(_xlfn.XLOOKUP(B126,ABST!B:B,ABST!C:C,,0),"-")</f>
        <v>ABASTECEDOR</v>
      </c>
      <c r="G126" t="str">
        <f>_xlfn.XLOOKUP(E126,CD_EQUIPES!A:A,CD_EQUIPES!B:B,,0)</f>
        <v>DIA</v>
      </c>
      <c r="H126">
        <f>_xlfn.XLOOKUP(TB_ATIVOS[[#This Row],[Chapa]],'8573'!D:D,'8573'!A:A,,0)</f>
        <v>180920</v>
      </c>
    </row>
    <row r="127" spans="1:8" x14ac:dyDescent="0.25">
      <c r="A127">
        <v>7556</v>
      </c>
      <c r="B127" t="s">
        <v>175</v>
      </c>
      <c r="C127" t="str">
        <f>_xlfn.TEXTBEFORE(B127, " ") &amp; " " &amp; _xlfn.TEXTAFTER(B127, " ", -1)</f>
        <v>WALLS SILVA</v>
      </c>
      <c r="D127" t="s">
        <v>323</v>
      </c>
      <c r="E127" t="s">
        <v>336</v>
      </c>
      <c r="F127" s="2" t="str">
        <f>IFERROR(_xlfn.XLOOKUP(B127,ABST!B:B,ABST!C:C,,0),"-")</f>
        <v>-</v>
      </c>
      <c r="G127" t="str">
        <f>_xlfn.XLOOKUP(E127,CD_EQUIPES!A:A,CD_EQUIPES!B:B,,0)</f>
        <v>DIA</v>
      </c>
      <c r="H127">
        <f>_xlfn.XLOOKUP(TB_ATIVOS[[#This Row],[Chapa]],'8573'!D:D,'8573'!A:A,,0)</f>
        <v>180983</v>
      </c>
    </row>
    <row r="128" spans="1:8" x14ac:dyDescent="0.25">
      <c r="A128">
        <v>7557</v>
      </c>
      <c r="B128" t="s">
        <v>133</v>
      </c>
      <c r="C128" t="str">
        <f>_xlfn.TEXTBEFORE(B128, " ") &amp; " " &amp; _xlfn.TEXTAFTER(B128, " ", -1)</f>
        <v>MARCIA MENDONCA</v>
      </c>
      <c r="D128" t="s">
        <v>323</v>
      </c>
      <c r="E128" t="s">
        <v>344</v>
      </c>
      <c r="F128" s="2" t="str">
        <f>IFERROR(_xlfn.XLOOKUP(B128,ABST!B:B,ABST!C:C,,0),"-")</f>
        <v>-</v>
      </c>
      <c r="G128" t="str">
        <f>_xlfn.XLOOKUP(E128,CD_EQUIPES!A:A,CD_EQUIPES!B:B,,0)</f>
        <v>DIA</v>
      </c>
      <c r="H128">
        <f>_xlfn.XLOOKUP(TB_ATIVOS[[#This Row],[Chapa]],'8573'!D:D,'8573'!A:A,,0)</f>
        <v>180984</v>
      </c>
    </row>
    <row r="129" spans="1:8" x14ac:dyDescent="0.25">
      <c r="A129">
        <v>7588</v>
      </c>
      <c r="B129" t="s">
        <v>152</v>
      </c>
      <c r="C129" t="str">
        <f>_xlfn.TEXTBEFORE(B129, " ") &amp; " " &amp; _xlfn.TEXTAFTER(B129, " ", -1)</f>
        <v>RAQUEL SANTOS</v>
      </c>
      <c r="D129" t="s">
        <v>323</v>
      </c>
      <c r="E129" t="s">
        <v>344</v>
      </c>
      <c r="F129" s="2" t="str">
        <f>IFERROR(_xlfn.XLOOKUP(B129,ABST!B:B,ABST!C:C,,0),"-")</f>
        <v>-</v>
      </c>
      <c r="G129" t="str">
        <f>_xlfn.XLOOKUP(E129,CD_EQUIPES!A:A,CD_EQUIPES!B:B,,0)</f>
        <v>DIA</v>
      </c>
      <c r="H129">
        <f>_xlfn.XLOOKUP(TB_ATIVOS[[#This Row],[Chapa]],'8573'!D:D,'8573'!A:A,,0)</f>
        <v>180998</v>
      </c>
    </row>
    <row r="130" spans="1:8" x14ac:dyDescent="0.25">
      <c r="A130">
        <v>7595</v>
      </c>
      <c r="B130" t="s">
        <v>39</v>
      </c>
      <c r="C130" t="str">
        <f>_xlfn.TEXTBEFORE(B130, " ") &amp; " " &amp; _xlfn.TEXTAFTER(B130, " ", -1)</f>
        <v>DAVI MOREIRA</v>
      </c>
      <c r="D130" t="s">
        <v>323</v>
      </c>
      <c r="E130" t="s">
        <v>344</v>
      </c>
      <c r="F130" s="2" t="str">
        <f>IFERROR(_xlfn.XLOOKUP(B130,ABST!B:B,ABST!C:C,,0),"-")</f>
        <v>-</v>
      </c>
      <c r="G130" t="str">
        <f>_xlfn.XLOOKUP(E130,CD_EQUIPES!A:A,CD_EQUIPES!B:B,,0)</f>
        <v>DIA</v>
      </c>
      <c r="H130">
        <f>_xlfn.XLOOKUP(TB_ATIVOS[[#This Row],[Chapa]],'8573'!D:D,'8573'!A:A,,0)</f>
        <v>181003</v>
      </c>
    </row>
    <row r="131" spans="1:8" x14ac:dyDescent="0.25">
      <c r="A131">
        <v>7596</v>
      </c>
      <c r="B131" t="s">
        <v>79</v>
      </c>
      <c r="C131" t="str">
        <f>_xlfn.TEXTBEFORE(B131, " ") &amp; " " &amp; _xlfn.TEXTAFTER(B131, " ", -1)</f>
        <v>IRANILSON BARBOSA</v>
      </c>
      <c r="D131" t="s">
        <v>323</v>
      </c>
      <c r="E131" t="s">
        <v>336</v>
      </c>
      <c r="F131" s="2" t="str">
        <f>IFERROR(_xlfn.XLOOKUP(B131,ABST!B:B,ABST!C:C,,0),"-")</f>
        <v>-</v>
      </c>
      <c r="G131" t="str">
        <f>_xlfn.XLOOKUP(E131,CD_EQUIPES!A:A,CD_EQUIPES!B:B,,0)</f>
        <v>DIA</v>
      </c>
      <c r="H131">
        <f>_xlfn.XLOOKUP(TB_ATIVOS[[#This Row],[Chapa]],'8573'!D:D,'8573'!A:A,,0)</f>
        <v>181004</v>
      </c>
    </row>
    <row r="132" spans="1:8" x14ac:dyDescent="0.25">
      <c r="A132">
        <v>7678</v>
      </c>
      <c r="B132" t="s">
        <v>60</v>
      </c>
      <c r="C132" t="str">
        <f>_xlfn.TEXTBEFORE(B132, " ") &amp; " " &amp; _xlfn.TEXTAFTER(B132, " ", -1)</f>
        <v>FERNANDO MORAIS</v>
      </c>
      <c r="D132" t="s">
        <v>323</v>
      </c>
      <c r="E132" t="s">
        <v>347</v>
      </c>
      <c r="F132" s="2" t="str">
        <f>IFERROR(_xlfn.XLOOKUP(B132,ABST!B:B,ABST!C:C,,0),"-")</f>
        <v>ABASTECEDOR</v>
      </c>
      <c r="G132" t="str">
        <f>_xlfn.XLOOKUP(E132,CD_EQUIPES!A:A,CD_EQUIPES!B:B,,0)</f>
        <v>DIA</v>
      </c>
      <c r="H132">
        <f>_xlfn.XLOOKUP(TB_ATIVOS[[#This Row],[Chapa]],'8573'!D:D,'8573'!A:A,,0)</f>
        <v>181044</v>
      </c>
    </row>
    <row r="133" spans="1:8" x14ac:dyDescent="0.25">
      <c r="A133">
        <v>7675</v>
      </c>
      <c r="B133" t="s">
        <v>361</v>
      </c>
      <c r="C133" t="str">
        <f>_xlfn.TEXTBEFORE(B133, " ") &amp; " " &amp; _xlfn.TEXTAFTER(B133, " ", -1)</f>
        <v>MICHELE PINHEIRO</v>
      </c>
      <c r="D133" t="s">
        <v>323</v>
      </c>
      <c r="E133" t="s">
        <v>344</v>
      </c>
      <c r="F133" s="2" t="str">
        <f>IFERROR(_xlfn.XLOOKUP(B133,ABST!B:B,ABST!C:C,,0),"-")</f>
        <v>-</v>
      </c>
      <c r="G133" t="str">
        <f>_xlfn.XLOOKUP(E133,CD_EQUIPES!A:A,CD_EQUIPES!B:B,,0)</f>
        <v>DIA</v>
      </c>
      <c r="H133">
        <f>_xlfn.XLOOKUP(TB_ATIVOS[[#This Row],[Chapa]],'8573'!D:D,'8573'!A:A,,0)</f>
        <v>181047</v>
      </c>
    </row>
    <row r="134" spans="1:8" x14ac:dyDescent="0.25">
      <c r="A134">
        <v>7768</v>
      </c>
      <c r="B134" t="s">
        <v>144</v>
      </c>
      <c r="C134" t="str">
        <f>_xlfn.TEXTBEFORE(B134, " ") &amp; " " &amp; _xlfn.TEXTAFTER(B134, " ", -1)</f>
        <v>MICHELLE SOUSA</v>
      </c>
      <c r="D134" t="s">
        <v>323</v>
      </c>
      <c r="E134" t="s">
        <v>344</v>
      </c>
      <c r="F134" s="2" t="str">
        <f>IFERROR(_xlfn.XLOOKUP(B134,ABST!B:B,ABST!C:C,,0),"-")</f>
        <v>-</v>
      </c>
      <c r="G134" t="str">
        <f>_xlfn.XLOOKUP(E134,CD_EQUIPES!A:A,CD_EQUIPES!B:B,,0)</f>
        <v>DIA</v>
      </c>
      <c r="H134">
        <f>_xlfn.XLOOKUP(TB_ATIVOS[[#This Row],[Chapa]],'8573'!D:D,'8573'!A:A,,0)</f>
        <v>181102</v>
      </c>
    </row>
    <row r="135" spans="1:8" x14ac:dyDescent="0.25">
      <c r="A135">
        <v>7793</v>
      </c>
      <c r="B135" t="s">
        <v>29</v>
      </c>
      <c r="C135" t="str">
        <f>_xlfn.TEXTBEFORE(B135, " ") &amp; " " &amp; _xlfn.TEXTAFTER(B135, " ", -1)</f>
        <v>CARLOS OLIVEIRA</v>
      </c>
      <c r="D135" t="s">
        <v>323</v>
      </c>
      <c r="E135" t="s">
        <v>344</v>
      </c>
      <c r="F135" s="2" t="str">
        <f>IFERROR(_xlfn.XLOOKUP(B135,ABST!B:B,ABST!C:C,,0),"-")</f>
        <v>-</v>
      </c>
      <c r="G135" t="str">
        <f>_xlfn.XLOOKUP(E135,CD_EQUIPES!A:A,CD_EQUIPES!B:B,,0)</f>
        <v>DIA</v>
      </c>
      <c r="H135">
        <f>_xlfn.XLOOKUP(TB_ATIVOS[[#This Row],[Chapa]],'8573'!D:D,'8573'!A:A,,0)</f>
        <v>181117</v>
      </c>
    </row>
    <row r="136" spans="1:8" x14ac:dyDescent="0.25">
      <c r="A136">
        <v>7827</v>
      </c>
      <c r="B136" t="s">
        <v>38</v>
      </c>
      <c r="C136" t="str">
        <f>_xlfn.TEXTBEFORE(B136, " ") &amp; " " &amp; _xlfn.TEXTAFTER(B136, " ", -1)</f>
        <v>DANIELLY OLIVEIRA</v>
      </c>
      <c r="D136" t="s">
        <v>323</v>
      </c>
      <c r="E136" t="s">
        <v>344</v>
      </c>
      <c r="F136" s="2" t="str">
        <f>IFERROR(_xlfn.XLOOKUP(B136,ABST!B:B,ABST!C:C,,0),"-")</f>
        <v>-</v>
      </c>
      <c r="G136" t="str">
        <f>_xlfn.XLOOKUP(E136,CD_EQUIPES!A:A,CD_EQUIPES!B:B,,0)</f>
        <v>DIA</v>
      </c>
      <c r="H136">
        <f>_xlfn.XLOOKUP(TB_ATIVOS[[#This Row],[Chapa]],'8573'!D:D,'8573'!A:A,,0)</f>
        <v>181129</v>
      </c>
    </row>
    <row r="137" spans="1:8" x14ac:dyDescent="0.25">
      <c r="A137">
        <v>7825</v>
      </c>
      <c r="B137" t="s">
        <v>86</v>
      </c>
      <c r="C137" t="str">
        <f>_xlfn.TEXTBEFORE(B137, " ") &amp; " " &amp; _xlfn.TEXTAFTER(B137, " ", -1)</f>
        <v>JAQUELINE PONTES</v>
      </c>
      <c r="D137" t="s">
        <v>323</v>
      </c>
      <c r="E137" t="s">
        <v>344</v>
      </c>
      <c r="F137" s="2" t="str">
        <f>IFERROR(_xlfn.XLOOKUP(B137,ABST!B:B,ABST!C:C,,0),"-")</f>
        <v>-</v>
      </c>
      <c r="G137" t="str">
        <f>_xlfn.XLOOKUP(E137,CD_EQUIPES!A:A,CD_EQUIPES!B:B,,0)</f>
        <v>DIA</v>
      </c>
      <c r="H137">
        <f>_xlfn.XLOOKUP(TB_ATIVOS[[#This Row],[Chapa]],'8573'!D:D,'8573'!A:A,,0)</f>
        <v>181131</v>
      </c>
    </row>
    <row r="138" spans="1:8" x14ac:dyDescent="0.25">
      <c r="A138">
        <v>7882</v>
      </c>
      <c r="B138" t="s">
        <v>278</v>
      </c>
      <c r="C138" t="str">
        <f>_xlfn.TEXTBEFORE(B138, " ") &amp; " " &amp; _xlfn.TEXTAFTER(B138, " ", -1)</f>
        <v>JOAO NETO</v>
      </c>
      <c r="D138" t="s">
        <v>323</v>
      </c>
      <c r="E138" t="s">
        <v>344</v>
      </c>
      <c r="F138" s="2" t="str">
        <f>IFERROR(_xlfn.XLOOKUP(B138,ABST!B:B,ABST!C:C,,0),"-")</f>
        <v>-</v>
      </c>
      <c r="G138" t="str">
        <f>_xlfn.XLOOKUP(E138,CD_EQUIPES!A:A,CD_EQUIPES!B:B,,0)</f>
        <v>DIA</v>
      </c>
      <c r="H138">
        <f>_xlfn.XLOOKUP(TB_ATIVOS[[#This Row],[Chapa]],'8573'!D:D,'8573'!A:A,,0)</f>
        <v>181154</v>
      </c>
    </row>
    <row r="139" spans="1:8" x14ac:dyDescent="0.25">
      <c r="A139">
        <v>7929</v>
      </c>
      <c r="B139" t="s">
        <v>258</v>
      </c>
      <c r="C139" t="str">
        <f>_xlfn.TEXTBEFORE(B139, " ") &amp; " " &amp; _xlfn.TEXTAFTER(B139, " ", -1)</f>
        <v>MAYCON NASCIMENTO</v>
      </c>
      <c r="D139" t="s">
        <v>323</v>
      </c>
      <c r="E139" t="s">
        <v>336</v>
      </c>
      <c r="F139" s="2" t="str">
        <f>IFERROR(_xlfn.XLOOKUP(B139,ABST!B:B,ABST!C:C,,0),"-")</f>
        <v>-</v>
      </c>
      <c r="G139" t="str">
        <f>_xlfn.XLOOKUP(E139,CD_EQUIPES!A:A,CD_EQUIPES!B:B,,0)</f>
        <v>DIA</v>
      </c>
      <c r="H139">
        <f>_xlfn.XLOOKUP(TB_ATIVOS[[#This Row],[Chapa]],'8573'!D:D,'8573'!A:A,,0)</f>
        <v>181192</v>
      </c>
    </row>
    <row r="140" spans="1:8" x14ac:dyDescent="0.25">
      <c r="A140">
        <v>7932</v>
      </c>
      <c r="B140" t="s">
        <v>275</v>
      </c>
      <c r="C140" t="str">
        <f>_xlfn.TEXTBEFORE(B140, " ") &amp; " " &amp; _xlfn.TEXTAFTER(B140, " ", -1)</f>
        <v>VALERIA SILVA</v>
      </c>
      <c r="D140" t="s">
        <v>323</v>
      </c>
      <c r="E140" t="s">
        <v>344</v>
      </c>
      <c r="F140" s="2" t="str">
        <f>IFERROR(_xlfn.XLOOKUP(B140,ABST!B:B,ABST!C:C,,0),"-")</f>
        <v>-</v>
      </c>
      <c r="G140" t="str">
        <f>_xlfn.XLOOKUP(E140,CD_EQUIPES!A:A,CD_EQUIPES!B:B,,0)</f>
        <v>DIA</v>
      </c>
      <c r="H140">
        <f>_xlfn.XLOOKUP(TB_ATIVOS[[#This Row],[Chapa]],'8573'!D:D,'8573'!A:A,,0)</f>
        <v>181196</v>
      </c>
    </row>
    <row r="141" spans="1:8" x14ac:dyDescent="0.25">
      <c r="A141">
        <v>7944</v>
      </c>
      <c r="B141" t="s">
        <v>276</v>
      </c>
      <c r="C141" t="str">
        <f>_xlfn.TEXTBEFORE(B141, " ") &amp; " " &amp; _xlfn.TEXTAFTER(B141, " ", -1)</f>
        <v>CRYSTOFFER MORAIS</v>
      </c>
      <c r="D141" t="s">
        <v>323</v>
      </c>
      <c r="E141" t="s">
        <v>344</v>
      </c>
      <c r="F141" s="2" t="str">
        <f>IFERROR(_xlfn.XLOOKUP(B141,ABST!B:B,ABST!C:C,,0),"-")</f>
        <v>-</v>
      </c>
      <c r="G141" t="str">
        <f>_xlfn.XLOOKUP(E141,CD_EQUIPES!A:A,CD_EQUIPES!B:B,,0)</f>
        <v>DIA</v>
      </c>
      <c r="H141">
        <f>_xlfn.XLOOKUP(TB_ATIVOS[[#This Row],[Chapa]],'8573'!D:D,'8573'!A:A,,0)</f>
        <v>181200</v>
      </c>
    </row>
    <row r="142" spans="1:8" x14ac:dyDescent="0.25">
      <c r="A142">
        <v>7945</v>
      </c>
      <c r="B142" t="s">
        <v>265</v>
      </c>
      <c r="C142" t="str">
        <f>_xlfn.TEXTBEFORE(B142, " ") &amp; " " &amp; _xlfn.TEXTAFTER(B142, " ", -1)</f>
        <v>TAMIRES ALVES</v>
      </c>
      <c r="D142" t="s">
        <v>323</v>
      </c>
      <c r="E142" t="s">
        <v>344</v>
      </c>
      <c r="F142" s="2" t="str">
        <f>IFERROR(_xlfn.XLOOKUP(B142,ABST!B:B,ABST!C:C,,0),"-")</f>
        <v>-</v>
      </c>
      <c r="G142" t="str">
        <f>_xlfn.XLOOKUP(E142,CD_EQUIPES!A:A,CD_EQUIPES!B:B,,0)</f>
        <v>DIA</v>
      </c>
      <c r="H142">
        <f>_xlfn.XLOOKUP(TB_ATIVOS[[#This Row],[Chapa]],'8573'!D:D,'8573'!A:A,,0)</f>
        <v>181201</v>
      </c>
    </row>
    <row r="143" spans="1:8" x14ac:dyDescent="0.25">
      <c r="A143">
        <v>7963</v>
      </c>
      <c r="B143" t="s">
        <v>313</v>
      </c>
      <c r="C143" t="str">
        <f>_xlfn.TEXTBEFORE(B143, " ") &amp; " " &amp; _xlfn.TEXTAFTER(B143, " ", -1)</f>
        <v>CARLOS SILVA</v>
      </c>
      <c r="D143" t="s">
        <v>323</v>
      </c>
      <c r="E143" t="s">
        <v>344</v>
      </c>
      <c r="F143" s="2" t="str">
        <f>IFERROR(_xlfn.XLOOKUP(B143,ABST!B:B,ABST!C:C,,0),"-")</f>
        <v>-</v>
      </c>
      <c r="G143" t="str">
        <f>_xlfn.XLOOKUP(E143,CD_EQUIPES!A:A,CD_EQUIPES!B:B,,0)</f>
        <v>DIA</v>
      </c>
      <c r="H143">
        <f>_xlfn.XLOOKUP(TB_ATIVOS[[#This Row],[Chapa]],'8573'!D:D,'8573'!A:A,,0)</f>
        <v>181210</v>
      </c>
    </row>
    <row r="144" spans="1:8" x14ac:dyDescent="0.25">
      <c r="A144">
        <v>7989</v>
      </c>
      <c r="B144" t="s">
        <v>299</v>
      </c>
      <c r="C144" t="str">
        <f>_xlfn.TEXTBEFORE(B144, " ") &amp; " " &amp; _xlfn.TEXTAFTER(B144, " ", -1)</f>
        <v>MICHELE GONCALVES</v>
      </c>
      <c r="D144" t="s">
        <v>323</v>
      </c>
      <c r="E144" t="s">
        <v>344</v>
      </c>
      <c r="F144" s="2" t="str">
        <f>IFERROR(_xlfn.XLOOKUP(B144,ABST!B:B,ABST!C:C,,0),"-")</f>
        <v>-</v>
      </c>
      <c r="G144" t="str">
        <f>_xlfn.XLOOKUP(E144,CD_EQUIPES!A:A,CD_EQUIPES!B:B,,0)</f>
        <v>DIA</v>
      </c>
      <c r="H144">
        <f>_xlfn.XLOOKUP(TB_ATIVOS[[#This Row],[Chapa]],'8573'!D:D,'8573'!A:A,,0)</f>
        <v>181225</v>
      </c>
    </row>
    <row r="145" spans="1:8" x14ac:dyDescent="0.25">
      <c r="A145">
        <v>7991</v>
      </c>
      <c r="B145" t="s">
        <v>305</v>
      </c>
      <c r="C145" t="str">
        <f>_xlfn.TEXTBEFORE(B145, " ") &amp; " " &amp; _xlfn.TEXTAFTER(B145, " ", -1)</f>
        <v>KELIANE FERREIRA</v>
      </c>
      <c r="D145" t="s">
        <v>323</v>
      </c>
      <c r="E145" t="s">
        <v>344</v>
      </c>
      <c r="F145" s="2" t="str">
        <f>IFERROR(_xlfn.XLOOKUP(B145,ABST!B:B,ABST!C:C,,0),"-")</f>
        <v>-</v>
      </c>
      <c r="G145" t="str">
        <f>_xlfn.XLOOKUP(E145,CD_EQUIPES!A:A,CD_EQUIPES!B:B,,0)</f>
        <v>DIA</v>
      </c>
      <c r="H145">
        <f>_xlfn.XLOOKUP(TB_ATIVOS[[#This Row],[Chapa]],'8573'!D:D,'8573'!A:A,,0)</f>
        <v>181227</v>
      </c>
    </row>
    <row r="146" spans="1:8" x14ac:dyDescent="0.25">
      <c r="A146">
        <v>7987</v>
      </c>
      <c r="B146" t="s">
        <v>306</v>
      </c>
      <c r="C146" t="str">
        <f>_xlfn.TEXTBEFORE(B146, " ") &amp; " " &amp; _xlfn.TEXTAFTER(B146, " ", -1)</f>
        <v>LAYANNE SOUZA</v>
      </c>
      <c r="D146" t="s">
        <v>323</v>
      </c>
      <c r="E146" t="s">
        <v>344</v>
      </c>
      <c r="F146" s="2" t="str">
        <f>IFERROR(_xlfn.XLOOKUP(B146,ABST!B:B,ABST!C:C,,0),"-")</f>
        <v>-</v>
      </c>
      <c r="G146" t="str">
        <f>_xlfn.XLOOKUP(E146,CD_EQUIPES!A:A,CD_EQUIPES!B:B,,0)</f>
        <v>DIA</v>
      </c>
      <c r="H146">
        <f>_xlfn.XLOOKUP(TB_ATIVOS[[#This Row],[Chapa]],'8573'!D:D,'8573'!A:A,,0)</f>
        <v>181228</v>
      </c>
    </row>
    <row r="147" spans="1:8" x14ac:dyDescent="0.25">
      <c r="A147">
        <v>8029</v>
      </c>
      <c r="B147" t="s">
        <v>303</v>
      </c>
      <c r="C147" t="str">
        <f>_xlfn.TEXTBEFORE(B147, " ") &amp; " " &amp; _xlfn.TEXTAFTER(B147, " ", -1)</f>
        <v>TAISSA MELO</v>
      </c>
      <c r="D147" t="s">
        <v>323</v>
      </c>
      <c r="E147" t="s">
        <v>344</v>
      </c>
      <c r="F147" s="2" t="str">
        <f>IFERROR(_xlfn.XLOOKUP(B147,ABST!B:B,ABST!C:C,,0),"-")</f>
        <v>-</v>
      </c>
      <c r="G147" t="str">
        <f>_xlfn.XLOOKUP(E147,CD_EQUIPES!A:A,CD_EQUIPES!B:B,,0)</f>
        <v>DIA</v>
      </c>
      <c r="H147">
        <f>_xlfn.XLOOKUP(TB_ATIVOS[[#This Row],[Chapa]],'8573'!D:D,'8573'!A:A,,0)</f>
        <v>181248</v>
      </c>
    </row>
    <row r="148" spans="1:8" x14ac:dyDescent="0.25">
      <c r="A148">
        <v>290</v>
      </c>
      <c r="B148" t="s">
        <v>147</v>
      </c>
      <c r="C148" t="str">
        <f>_xlfn.TEXTBEFORE(B148, " ") &amp; " " &amp; _xlfn.TEXTAFTER(B148, " ", -1)</f>
        <v>PEDRO SANTOS</v>
      </c>
      <c r="D148" t="s">
        <v>323</v>
      </c>
      <c r="E148" t="s">
        <v>338</v>
      </c>
      <c r="F148" s="2" t="str">
        <f>IFERROR(_xlfn.XLOOKUP(B148,ABST!B:B,ABST!C:C,,0),"-")</f>
        <v>-</v>
      </c>
      <c r="G148" t="str">
        <f>_xlfn.XLOOKUP(E148,CD_EQUIPES!A:A,CD_EQUIPES!B:B,,0)</f>
        <v>NOITE</v>
      </c>
      <c r="H148">
        <f>_xlfn.XLOOKUP(TB_ATIVOS[[#This Row],[Chapa]],'8573'!D:D,'8573'!A:A,,0)</f>
        <v>35572</v>
      </c>
    </row>
    <row r="149" spans="1:8" x14ac:dyDescent="0.25">
      <c r="A149">
        <v>3704</v>
      </c>
      <c r="B149" t="s">
        <v>85</v>
      </c>
      <c r="C149" t="str">
        <f>_xlfn.TEXTBEFORE(B149, " ") &amp; " " &amp; _xlfn.TEXTAFTER(B149, " ", -1)</f>
        <v>JANDIRA MOTA</v>
      </c>
      <c r="D149" t="s">
        <v>323</v>
      </c>
      <c r="E149" t="s">
        <v>337</v>
      </c>
      <c r="F149" s="2" t="str">
        <f>IFERROR(_xlfn.XLOOKUP(B149,ABST!B:B,ABST!C:C,,0),"-")</f>
        <v>-</v>
      </c>
      <c r="G149" t="str">
        <f>_xlfn.XLOOKUP(E149,CD_EQUIPES!A:A,CD_EQUIPES!B:B,,0)</f>
        <v>NOITE</v>
      </c>
      <c r="H149">
        <f>_xlfn.XLOOKUP(TB_ATIVOS[[#This Row],[Chapa]],'8573'!D:D,'8573'!A:A,,0)</f>
        <v>100712</v>
      </c>
    </row>
    <row r="150" spans="1:8" x14ac:dyDescent="0.25">
      <c r="A150">
        <v>4110</v>
      </c>
      <c r="B150" t="s">
        <v>167</v>
      </c>
      <c r="C150" t="str">
        <f>_xlfn.TEXTBEFORE(B150, " ") &amp; " " &amp; _xlfn.TEXTAFTER(B150, " ", -1)</f>
        <v>TEVALDO SANTOS</v>
      </c>
      <c r="D150" t="s">
        <v>323</v>
      </c>
      <c r="E150" t="s">
        <v>337</v>
      </c>
      <c r="F150" s="2" t="str">
        <f>IFERROR(_xlfn.XLOOKUP(B150,ABST!B:B,ABST!C:C,,0),"-")</f>
        <v>-</v>
      </c>
      <c r="G150" t="str">
        <f>_xlfn.XLOOKUP(E150,CD_EQUIPES!A:A,CD_EQUIPES!B:B,,0)</f>
        <v>NOITE</v>
      </c>
      <c r="H150">
        <f>_xlfn.XLOOKUP(TB_ATIVOS[[#This Row],[Chapa]],'8573'!D:D,'8573'!A:A,,0)</f>
        <v>100913</v>
      </c>
    </row>
    <row r="151" spans="1:8" x14ac:dyDescent="0.25">
      <c r="A151">
        <v>5824</v>
      </c>
      <c r="B151" t="s">
        <v>113</v>
      </c>
      <c r="C151" t="str">
        <f>_xlfn.TEXTBEFORE(B151, " ") &amp; " " &amp; _xlfn.TEXTAFTER(B151, " ", -1)</f>
        <v>LEILIENE COSTA</v>
      </c>
      <c r="D151" t="s">
        <v>323</v>
      </c>
      <c r="E151" t="s">
        <v>337</v>
      </c>
      <c r="F151" s="2" t="str">
        <f>IFERROR(_xlfn.XLOOKUP(B151,ABST!B:B,ABST!C:C,,0),"-")</f>
        <v>-</v>
      </c>
      <c r="G151" t="str">
        <f>_xlfn.XLOOKUP(E151,CD_EQUIPES!A:A,CD_EQUIPES!B:B,,0)</f>
        <v>NOITE</v>
      </c>
      <c r="H151">
        <f>_xlfn.XLOOKUP(TB_ATIVOS[[#This Row],[Chapa]],'8573'!D:D,'8573'!A:A,,0)</f>
        <v>122574</v>
      </c>
    </row>
    <row r="152" spans="1:8" x14ac:dyDescent="0.25">
      <c r="A152">
        <v>5947</v>
      </c>
      <c r="B152" t="s">
        <v>154</v>
      </c>
      <c r="C152" t="str">
        <f>_xlfn.TEXTBEFORE(B152, " ") &amp; " " &amp; _xlfn.TEXTAFTER(B152, " ", -1)</f>
        <v>REINAN SILVA</v>
      </c>
      <c r="D152" t="s">
        <v>323</v>
      </c>
      <c r="E152" t="s">
        <v>338</v>
      </c>
      <c r="F152" s="2" t="str">
        <f>IFERROR(_xlfn.XLOOKUP(B152,ABST!B:B,ABST!C:C,,0),"-")</f>
        <v>-</v>
      </c>
      <c r="G152" t="str">
        <f>_xlfn.XLOOKUP(E152,CD_EQUIPES!A:A,CD_EQUIPES!B:B,,0)</f>
        <v>NOITE</v>
      </c>
      <c r="H152">
        <f>_xlfn.XLOOKUP(TB_ATIVOS[[#This Row],[Chapa]],'8573'!D:D,'8573'!A:A,,0)</f>
        <v>122591</v>
      </c>
    </row>
    <row r="153" spans="1:8" x14ac:dyDescent="0.25">
      <c r="A153">
        <v>6013</v>
      </c>
      <c r="B153" t="s">
        <v>178</v>
      </c>
      <c r="C153" t="str">
        <f>_xlfn.TEXTBEFORE(B153, " ") &amp; " " &amp; _xlfn.TEXTAFTER(B153, " ", -1)</f>
        <v>WEBERT SILVA</v>
      </c>
      <c r="D153" t="s">
        <v>323</v>
      </c>
      <c r="E153" t="s">
        <v>338</v>
      </c>
      <c r="F153" s="2" t="str">
        <f>IFERROR(_xlfn.XLOOKUP(B153,ABST!B:B,ABST!C:C,,0),"-")</f>
        <v>-</v>
      </c>
      <c r="G153" t="str">
        <f>_xlfn.XLOOKUP(E153,CD_EQUIPES!A:A,CD_EQUIPES!B:B,,0)</f>
        <v>NOITE</v>
      </c>
      <c r="H153">
        <f>_xlfn.XLOOKUP(TB_ATIVOS[[#This Row],[Chapa]],'8573'!D:D,'8573'!A:A,,0)</f>
        <v>122618</v>
      </c>
    </row>
    <row r="154" spans="1:8" x14ac:dyDescent="0.25">
      <c r="A154">
        <v>6498</v>
      </c>
      <c r="B154" t="s">
        <v>146</v>
      </c>
      <c r="C154" t="str">
        <f>_xlfn.TEXTBEFORE(B154, " ") &amp; " " &amp; _xlfn.TEXTAFTER(B154, " ", -1)</f>
        <v>NILTON SOUSA</v>
      </c>
      <c r="D154" t="s">
        <v>323</v>
      </c>
      <c r="E154" t="s">
        <v>338</v>
      </c>
      <c r="F154" s="2" t="str">
        <f>IFERROR(_xlfn.XLOOKUP(B154,ABST!B:B,ABST!C:C,,0),"-")</f>
        <v>-</v>
      </c>
      <c r="G154" t="str">
        <f>_xlfn.XLOOKUP(E154,CD_EQUIPES!A:A,CD_EQUIPES!B:B,,0)</f>
        <v>NOITE</v>
      </c>
      <c r="H154">
        <f>_xlfn.XLOOKUP(TB_ATIVOS[[#This Row],[Chapa]],'8573'!D:D,'8573'!A:A,,0)</f>
        <v>180075</v>
      </c>
    </row>
    <row r="155" spans="1:8" x14ac:dyDescent="0.25">
      <c r="A155">
        <v>6523</v>
      </c>
      <c r="B155" t="s">
        <v>81</v>
      </c>
      <c r="C155" t="str">
        <f>_xlfn.TEXTBEFORE(B155, " ") &amp; " " &amp; _xlfn.TEXTAFTER(B155, " ", -1)</f>
        <v>JACKELINE SILVA</v>
      </c>
      <c r="D155" t="s">
        <v>323</v>
      </c>
      <c r="E155" t="s">
        <v>337</v>
      </c>
      <c r="F155" s="2" t="str">
        <f>IFERROR(_xlfn.XLOOKUP(B155,ABST!B:B,ABST!C:C,,0),"-")</f>
        <v>-</v>
      </c>
      <c r="G155" t="str">
        <f>_xlfn.XLOOKUP(E155,CD_EQUIPES!A:A,CD_EQUIPES!B:B,,0)</f>
        <v>NOITE</v>
      </c>
      <c r="H155">
        <f>_xlfn.XLOOKUP(TB_ATIVOS[[#This Row],[Chapa]],'8573'!D:D,'8573'!A:A,,0)</f>
        <v>180085</v>
      </c>
    </row>
    <row r="156" spans="1:8" x14ac:dyDescent="0.25">
      <c r="A156">
        <v>6524</v>
      </c>
      <c r="B156" t="s">
        <v>9</v>
      </c>
      <c r="C156" t="str">
        <f>_xlfn.TEXTBEFORE(B156, " ") &amp; " " &amp; _xlfn.TEXTAFTER(B156, " ", -1)</f>
        <v>ANDREILDE MOURA</v>
      </c>
      <c r="D156" t="s">
        <v>323</v>
      </c>
      <c r="E156" t="s">
        <v>337</v>
      </c>
      <c r="F156" s="2" t="str">
        <f>IFERROR(_xlfn.XLOOKUP(B156,ABST!B:B,ABST!C:C,,0),"-")</f>
        <v>-</v>
      </c>
      <c r="G156" t="str">
        <f>_xlfn.XLOOKUP(E156,CD_EQUIPES!A:A,CD_EQUIPES!B:B,,0)</f>
        <v>NOITE</v>
      </c>
      <c r="H156">
        <f>_xlfn.XLOOKUP(TB_ATIVOS[[#This Row],[Chapa]],'8573'!D:D,'8573'!A:A,,0)</f>
        <v>180086</v>
      </c>
    </row>
    <row r="157" spans="1:8" x14ac:dyDescent="0.25">
      <c r="A157">
        <v>6534</v>
      </c>
      <c r="B157" t="s">
        <v>103</v>
      </c>
      <c r="C157" t="str">
        <f>_xlfn.TEXTBEFORE(B157, " ") &amp; " " &amp; _xlfn.TEXTAFTER(B157, " ", -1)</f>
        <v>JOSUE SOUSA</v>
      </c>
      <c r="D157" t="s">
        <v>323</v>
      </c>
      <c r="E157" t="s">
        <v>338</v>
      </c>
      <c r="F157" s="2" t="str">
        <f>IFERROR(_xlfn.XLOOKUP(B157,ABST!B:B,ABST!C:C,,0),"-")</f>
        <v>-</v>
      </c>
      <c r="G157" t="str">
        <f>_xlfn.XLOOKUP(E157,CD_EQUIPES!A:A,CD_EQUIPES!B:B,,0)</f>
        <v>NOITE</v>
      </c>
      <c r="H157">
        <f>_xlfn.XLOOKUP(TB_ATIVOS[[#This Row],[Chapa]],'8573'!D:D,'8573'!A:A,,0)</f>
        <v>180098</v>
      </c>
    </row>
    <row r="158" spans="1:8" x14ac:dyDescent="0.25">
      <c r="A158">
        <v>6567</v>
      </c>
      <c r="B158" t="s">
        <v>40</v>
      </c>
      <c r="C158" t="str">
        <f>_xlfn.TEXTBEFORE(B158, " ") &amp; " " &amp; _xlfn.TEXTAFTER(B158, " ", -1)</f>
        <v>DEBORA JESUS</v>
      </c>
      <c r="D158" t="s">
        <v>323</v>
      </c>
      <c r="E158" t="s">
        <v>337</v>
      </c>
      <c r="F158" s="2" t="str">
        <f>IFERROR(_xlfn.XLOOKUP(B158,ABST!B:B,ABST!C:C,,0),"-")</f>
        <v>-</v>
      </c>
      <c r="G158" t="str">
        <f>_xlfn.XLOOKUP(E158,CD_EQUIPES!A:A,CD_EQUIPES!B:B,,0)</f>
        <v>NOITE</v>
      </c>
      <c r="H158">
        <f>_xlfn.XLOOKUP(TB_ATIVOS[[#This Row],[Chapa]],'8573'!D:D,'8573'!A:A,,0)</f>
        <v>180114</v>
      </c>
    </row>
    <row r="159" spans="1:8" x14ac:dyDescent="0.25">
      <c r="A159">
        <v>6712</v>
      </c>
      <c r="B159" t="s">
        <v>112</v>
      </c>
      <c r="C159" t="str">
        <f>_xlfn.TEXTBEFORE(B159, " ") &amp; " " &amp; _xlfn.TEXTAFTER(B159, " ", -1)</f>
        <v>LEILA COSTA</v>
      </c>
      <c r="D159" t="s">
        <v>323</v>
      </c>
      <c r="E159" t="s">
        <v>337</v>
      </c>
      <c r="F159" s="2" t="str">
        <f>IFERROR(_xlfn.XLOOKUP(B159,ABST!B:B,ABST!C:C,,0),"-")</f>
        <v>-</v>
      </c>
      <c r="G159" t="str">
        <f>_xlfn.XLOOKUP(E159,CD_EQUIPES!A:A,CD_EQUIPES!B:B,,0)</f>
        <v>NOITE</v>
      </c>
      <c r="H159">
        <f>_xlfn.XLOOKUP(TB_ATIVOS[[#This Row],[Chapa]],'8573'!D:D,'8573'!A:A,,0)</f>
        <v>180178</v>
      </c>
    </row>
    <row r="160" spans="1:8" x14ac:dyDescent="0.25">
      <c r="A160">
        <v>6737</v>
      </c>
      <c r="B160" t="s">
        <v>92</v>
      </c>
      <c r="C160" t="str">
        <f>_xlfn.TEXTBEFORE(B160, " ") &amp; " " &amp; _xlfn.TEXTAFTER(B160, " ", -1)</f>
        <v>JOAO AZEVEDO</v>
      </c>
      <c r="D160" t="s">
        <v>323</v>
      </c>
      <c r="E160" t="s">
        <v>338</v>
      </c>
      <c r="F160" s="2" t="str">
        <f>IFERROR(_xlfn.XLOOKUP(B160,ABST!B:B,ABST!C:C,,0),"-")</f>
        <v>-</v>
      </c>
      <c r="G160" t="str">
        <f>_xlfn.XLOOKUP(E160,CD_EQUIPES!A:A,CD_EQUIPES!B:B,,0)</f>
        <v>NOITE</v>
      </c>
      <c r="H160">
        <f>_xlfn.XLOOKUP(TB_ATIVOS[[#This Row],[Chapa]],'8573'!D:D,'8573'!A:A,,0)</f>
        <v>180197</v>
      </c>
    </row>
    <row r="161" spans="1:8" x14ac:dyDescent="0.25">
      <c r="A161">
        <v>6779</v>
      </c>
      <c r="B161" t="s">
        <v>159</v>
      </c>
      <c r="C161" t="str">
        <f>_xlfn.TEXTBEFORE(B161, " ") &amp; " " &amp; _xlfn.TEXTAFTER(B161, " ", -1)</f>
        <v>SATILO SANTOS</v>
      </c>
      <c r="D161" t="s">
        <v>323</v>
      </c>
      <c r="E161" t="s">
        <v>334</v>
      </c>
      <c r="F161" s="2" t="str">
        <f>IFERROR(_xlfn.XLOOKUP(B161,ABST!B:B,ABST!C:C,,0),"-")</f>
        <v>ABASTECEDOR</v>
      </c>
      <c r="G161" t="str">
        <f>_xlfn.XLOOKUP(E161,CD_EQUIPES!A:A,CD_EQUIPES!B:B,,0)</f>
        <v>NOITE</v>
      </c>
      <c r="H161">
        <f>_xlfn.XLOOKUP(TB_ATIVOS[[#This Row],[Chapa]],'8573'!D:D,'8573'!A:A,,0)</f>
        <v>180221</v>
      </c>
    </row>
    <row r="162" spans="1:8" x14ac:dyDescent="0.25">
      <c r="A162">
        <v>6774</v>
      </c>
      <c r="B162" t="s">
        <v>52</v>
      </c>
      <c r="C162" t="str">
        <f>_xlfn.TEXTBEFORE(B162, " ") &amp; " " &amp; _xlfn.TEXTAFTER(B162, " ", -1)</f>
        <v>ELISBERTO PINHEIRO</v>
      </c>
      <c r="D162" t="s">
        <v>323</v>
      </c>
      <c r="E162" t="s">
        <v>337</v>
      </c>
      <c r="F162" s="2" t="str">
        <f>IFERROR(_xlfn.XLOOKUP(B162,ABST!B:B,ABST!C:C,,0),"-")</f>
        <v>-</v>
      </c>
      <c r="G162" t="str">
        <f>_xlfn.XLOOKUP(E162,CD_EQUIPES!A:A,CD_EQUIPES!B:B,,0)</f>
        <v>NOITE</v>
      </c>
      <c r="H162">
        <f>_xlfn.XLOOKUP(TB_ATIVOS[[#This Row],[Chapa]],'8573'!D:D,'8573'!A:A,,0)</f>
        <v>180223</v>
      </c>
    </row>
    <row r="163" spans="1:8" x14ac:dyDescent="0.25">
      <c r="A163">
        <v>6792</v>
      </c>
      <c r="B163" t="s">
        <v>45</v>
      </c>
      <c r="C163" t="str">
        <f>_xlfn.TEXTBEFORE(B163, " ") &amp; " " &amp; _xlfn.TEXTAFTER(B163, " ", -1)</f>
        <v>EDVAN SILVA</v>
      </c>
      <c r="D163" t="s">
        <v>323</v>
      </c>
      <c r="E163" t="s">
        <v>338</v>
      </c>
      <c r="F163" s="2" t="str">
        <f>IFERROR(_xlfn.XLOOKUP(B163,ABST!B:B,ABST!C:C,,0),"-")</f>
        <v>-</v>
      </c>
      <c r="G163" t="str">
        <f>_xlfn.XLOOKUP(E163,CD_EQUIPES!A:A,CD_EQUIPES!B:B,,0)</f>
        <v>NOITE</v>
      </c>
      <c r="H163">
        <f>_xlfn.XLOOKUP(TB_ATIVOS[[#This Row],[Chapa]],'8573'!D:D,'8573'!A:A,,0)</f>
        <v>180224</v>
      </c>
    </row>
    <row r="164" spans="1:8" x14ac:dyDescent="0.25">
      <c r="A164">
        <v>6793</v>
      </c>
      <c r="B164" t="s">
        <v>295</v>
      </c>
      <c r="C164" t="str">
        <f>_xlfn.TEXTBEFORE(B164, " ") &amp; " " &amp; _xlfn.TEXTAFTER(B164, " ", -1)</f>
        <v>FRANCISCO SILVA</v>
      </c>
      <c r="D164" t="s">
        <v>323</v>
      </c>
      <c r="E164" t="s">
        <v>335</v>
      </c>
      <c r="F164" s="2" t="str">
        <f>IFERROR(_xlfn.XLOOKUP(B164,ABST!B:B,ABST!C:C,,0),"-")</f>
        <v>-</v>
      </c>
      <c r="G164" t="str">
        <f>_xlfn.XLOOKUP(E164,CD_EQUIPES!A:A,CD_EQUIPES!B:B,,0)</f>
        <v>NOITE</v>
      </c>
      <c r="H164">
        <f>_xlfn.XLOOKUP(TB_ATIVOS[[#This Row],[Chapa]],'8573'!D:D,'8573'!A:A,,0)</f>
        <v>180225</v>
      </c>
    </row>
    <row r="165" spans="1:8" x14ac:dyDescent="0.25">
      <c r="A165">
        <v>6817</v>
      </c>
      <c r="B165" t="s">
        <v>183</v>
      </c>
      <c r="C165" t="str">
        <f>_xlfn.TEXTBEFORE(B165, " ") &amp; " " &amp; _xlfn.TEXTAFTER(B165, " ", -1)</f>
        <v>YENNYS RAMOS</v>
      </c>
      <c r="D165" t="s">
        <v>323</v>
      </c>
      <c r="E165" t="s">
        <v>338</v>
      </c>
      <c r="F165" s="2" t="str">
        <f>IFERROR(_xlfn.XLOOKUP(B165,ABST!B:B,ABST!C:C,,0),"-")</f>
        <v>-</v>
      </c>
      <c r="G165" t="str">
        <f>_xlfn.XLOOKUP(E165,CD_EQUIPES!A:A,CD_EQUIPES!B:B,,0)</f>
        <v>NOITE</v>
      </c>
      <c r="H165">
        <f>_xlfn.XLOOKUP(TB_ATIVOS[[#This Row],[Chapa]],'8573'!D:D,'8573'!A:A,,0)</f>
        <v>180241</v>
      </c>
    </row>
    <row r="166" spans="1:8" x14ac:dyDescent="0.25">
      <c r="A166">
        <v>6879</v>
      </c>
      <c r="B166" t="s">
        <v>73</v>
      </c>
      <c r="C166" t="str">
        <f>_xlfn.TEXTBEFORE(B166, " ") &amp; " " &amp; _xlfn.TEXTAFTER(B166, " ", -1)</f>
        <v>GECILON BARBOSA</v>
      </c>
      <c r="D166" t="s">
        <v>323</v>
      </c>
      <c r="E166" t="s">
        <v>335</v>
      </c>
      <c r="F166" s="2" t="str">
        <f>IFERROR(_xlfn.XLOOKUP(B166,ABST!B:B,ABST!C:C,,0),"-")</f>
        <v>-</v>
      </c>
      <c r="G166" t="str">
        <f>_xlfn.XLOOKUP(E166,CD_EQUIPES!A:A,CD_EQUIPES!B:B,,0)</f>
        <v>NOITE</v>
      </c>
      <c r="H166">
        <f>_xlfn.XLOOKUP(TB_ATIVOS[[#This Row],[Chapa]],'8573'!D:D,'8573'!A:A,,0)</f>
        <v>180272</v>
      </c>
    </row>
    <row r="167" spans="1:8" x14ac:dyDescent="0.25">
      <c r="A167">
        <v>6964</v>
      </c>
      <c r="B167" t="s">
        <v>105</v>
      </c>
      <c r="C167" t="str">
        <f>_xlfn.TEXTBEFORE(B167, " ") &amp; " " &amp; _xlfn.TEXTAFTER(B167, " ", -1)</f>
        <v>JULIANO COSTA</v>
      </c>
      <c r="D167" t="s">
        <v>323</v>
      </c>
      <c r="E167" t="s">
        <v>335</v>
      </c>
      <c r="F167" s="2" t="str">
        <f>IFERROR(_xlfn.XLOOKUP(B167,ABST!B:B,ABST!C:C,,0),"-")</f>
        <v>-</v>
      </c>
      <c r="G167" t="str">
        <f>_xlfn.XLOOKUP(E167,CD_EQUIPES!A:A,CD_EQUIPES!B:B,,0)</f>
        <v>NOITE</v>
      </c>
      <c r="H167">
        <f>_xlfn.XLOOKUP(TB_ATIVOS[[#This Row],[Chapa]],'8573'!D:D,'8573'!A:A,,0)</f>
        <v>180700</v>
      </c>
    </row>
    <row r="168" spans="1:8" x14ac:dyDescent="0.25">
      <c r="A168">
        <v>6974</v>
      </c>
      <c r="B168" t="s">
        <v>18</v>
      </c>
      <c r="C168" t="str">
        <f>_xlfn.TEXTBEFORE(B168, " ") &amp; " " &amp; _xlfn.TEXTAFTER(B168, " ", -1)</f>
        <v>BRUNO ROCHA</v>
      </c>
      <c r="D168" t="s">
        <v>323</v>
      </c>
      <c r="E168" t="s">
        <v>335</v>
      </c>
      <c r="F168" s="2" t="str">
        <f>IFERROR(_xlfn.XLOOKUP(B168,ABST!B:B,ABST!C:C,,0),"-")</f>
        <v>-</v>
      </c>
      <c r="G168" t="str">
        <f>_xlfn.XLOOKUP(E168,CD_EQUIPES!A:A,CD_EQUIPES!B:B,,0)</f>
        <v>NOITE</v>
      </c>
      <c r="H168">
        <f>_xlfn.XLOOKUP(TB_ATIVOS[[#This Row],[Chapa]],'8573'!D:D,'8573'!A:A,,0)</f>
        <v>180728</v>
      </c>
    </row>
    <row r="169" spans="1:8" x14ac:dyDescent="0.25">
      <c r="A169">
        <v>7024</v>
      </c>
      <c r="B169" t="s">
        <v>168</v>
      </c>
      <c r="C169" t="str">
        <f>_xlfn.TEXTBEFORE(B169, " ") &amp; " " &amp; _xlfn.TEXTAFTER(B169, " ", -1)</f>
        <v>THIAGO VASCONCELOS</v>
      </c>
      <c r="D169" t="s">
        <v>323</v>
      </c>
      <c r="E169" t="s">
        <v>335</v>
      </c>
      <c r="F169" s="2" t="str">
        <f>IFERROR(_xlfn.XLOOKUP(B169,ABST!B:B,ABST!C:C,,0),"-")</f>
        <v>-</v>
      </c>
      <c r="G169" t="str">
        <f>_xlfn.XLOOKUP(E169,CD_EQUIPES!A:A,CD_EQUIPES!B:B,,0)</f>
        <v>NOITE</v>
      </c>
      <c r="H169">
        <f>_xlfn.XLOOKUP(TB_ATIVOS[[#This Row],[Chapa]],'8573'!D:D,'8573'!A:A,,0)</f>
        <v>180748</v>
      </c>
    </row>
    <row r="170" spans="1:8" x14ac:dyDescent="0.25">
      <c r="A170">
        <v>7033</v>
      </c>
      <c r="B170" t="s">
        <v>294</v>
      </c>
      <c r="C170" t="str">
        <f>_xlfn.TEXTBEFORE(B170, " ") &amp; " " &amp; _xlfn.TEXTAFTER(B170, " ", -1)</f>
        <v>EGILVAN SANTOS</v>
      </c>
      <c r="D170" t="s">
        <v>323</v>
      </c>
      <c r="E170" t="s">
        <v>335</v>
      </c>
      <c r="F170" s="2" t="str">
        <f>IFERROR(_xlfn.XLOOKUP(B170,ABST!B:B,ABST!C:C,,0),"-")</f>
        <v>-</v>
      </c>
      <c r="G170" t="str">
        <f>_xlfn.XLOOKUP(E170,CD_EQUIPES!A:A,CD_EQUIPES!B:B,,0)</f>
        <v>NOITE</v>
      </c>
      <c r="H170">
        <f>_xlfn.XLOOKUP(TB_ATIVOS[[#This Row],[Chapa]],'8573'!D:D,'8573'!A:A,,0)</f>
        <v>180749</v>
      </c>
    </row>
    <row r="171" spans="1:8" x14ac:dyDescent="0.25">
      <c r="A171">
        <v>7042</v>
      </c>
      <c r="B171" t="s">
        <v>3</v>
      </c>
      <c r="C171" t="str">
        <f>_xlfn.TEXTBEFORE(B171, " ") &amp; " " &amp; _xlfn.TEXTAFTER(B171, " ", -1)</f>
        <v>ADINALDO SILVA</v>
      </c>
      <c r="D171" t="s">
        <v>323</v>
      </c>
      <c r="E171" t="s">
        <v>337</v>
      </c>
      <c r="F171" s="2" t="str">
        <f>IFERROR(_xlfn.XLOOKUP(B171,ABST!B:B,ABST!C:C,,0),"-")</f>
        <v>-</v>
      </c>
      <c r="G171" t="str">
        <f>_xlfn.XLOOKUP(E171,CD_EQUIPES!A:A,CD_EQUIPES!B:B,,0)</f>
        <v>NOITE</v>
      </c>
      <c r="H171">
        <f>_xlfn.XLOOKUP(TB_ATIVOS[[#This Row],[Chapa]],'8573'!D:D,'8573'!A:A,,0)</f>
        <v>180753</v>
      </c>
    </row>
    <row r="172" spans="1:8" x14ac:dyDescent="0.25">
      <c r="A172">
        <v>7116</v>
      </c>
      <c r="B172" t="s">
        <v>355</v>
      </c>
      <c r="C172" t="str">
        <f>_xlfn.TEXTBEFORE(B172, " ") &amp; " " &amp; _xlfn.TEXTAFTER(B172, " ", -1)</f>
        <v>FRANCISCO SOBRINHO</v>
      </c>
      <c r="D172" t="s">
        <v>323</v>
      </c>
      <c r="E172" t="s">
        <v>338</v>
      </c>
      <c r="F172" s="2" t="str">
        <f>IFERROR(_xlfn.XLOOKUP(B172,ABST!B:B,ABST!C:C,,0),"-")</f>
        <v>-</v>
      </c>
      <c r="G172" t="str">
        <f>_xlfn.XLOOKUP(E172,CD_EQUIPES!A:A,CD_EQUIPES!B:B,,0)</f>
        <v>NOITE</v>
      </c>
      <c r="H172">
        <f>_xlfn.XLOOKUP(TB_ATIVOS[[#This Row],[Chapa]],'8573'!D:D,'8573'!A:A,,0)</f>
        <v>180788</v>
      </c>
    </row>
    <row r="173" spans="1:8" x14ac:dyDescent="0.25">
      <c r="A173">
        <v>7168</v>
      </c>
      <c r="B173" t="s">
        <v>72</v>
      </c>
      <c r="C173" t="str">
        <f>_xlfn.TEXTBEFORE(B173, " ") &amp; " " &amp; _xlfn.TEXTAFTER(B173, " ", -1)</f>
        <v>GABRIELA BEZERRA</v>
      </c>
      <c r="D173" t="s">
        <v>323</v>
      </c>
      <c r="E173" t="s">
        <v>337</v>
      </c>
      <c r="F173" s="2" t="str">
        <f>IFERROR(_xlfn.XLOOKUP(B173,ABST!B:B,ABST!C:C,,0),"-")</f>
        <v>-</v>
      </c>
      <c r="G173" t="str">
        <f>_xlfn.XLOOKUP(E173,CD_EQUIPES!A:A,CD_EQUIPES!B:B,,0)</f>
        <v>NOITE</v>
      </c>
      <c r="H173">
        <f>_xlfn.XLOOKUP(TB_ATIVOS[[#This Row],[Chapa]],'8573'!D:D,'8573'!A:A,,0)</f>
        <v>180809</v>
      </c>
    </row>
    <row r="174" spans="1:8" x14ac:dyDescent="0.25">
      <c r="A174">
        <v>7189</v>
      </c>
      <c r="B174" t="s">
        <v>59</v>
      </c>
      <c r="C174" t="str">
        <f>_xlfn.TEXTBEFORE(B174, " ") &amp; " " &amp; _xlfn.TEXTAFTER(B174, " ", -1)</f>
        <v>FERNANDO MORAES</v>
      </c>
      <c r="D174" t="s">
        <v>323</v>
      </c>
      <c r="E174" t="s">
        <v>334</v>
      </c>
      <c r="F174" s="2" t="str">
        <f>IFERROR(_xlfn.XLOOKUP(B174,ABST!B:B,ABST!C:C,,0),"-")</f>
        <v>-</v>
      </c>
      <c r="G174" t="str">
        <f>_xlfn.XLOOKUP(E174,CD_EQUIPES!A:A,CD_EQUIPES!B:B,,0)</f>
        <v>NOITE</v>
      </c>
      <c r="H174">
        <f>_xlfn.XLOOKUP(TB_ATIVOS[[#This Row],[Chapa]],'8573'!D:D,'8573'!A:A,,0)</f>
        <v>180819</v>
      </c>
    </row>
    <row r="175" spans="1:8" x14ac:dyDescent="0.25">
      <c r="A175">
        <v>7210</v>
      </c>
      <c r="B175" t="s">
        <v>106</v>
      </c>
      <c r="C175" t="str">
        <f>_xlfn.TEXTBEFORE(B175, " ") &amp; " " &amp; _xlfn.TEXTAFTER(B175, " ", -1)</f>
        <v>JUNIOR SANTOS</v>
      </c>
      <c r="D175" t="s">
        <v>323</v>
      </c>
      <c r="E175" t="s">
        <v>338</v>
      </c>
      <c r="F175" s="2" t="str">
        <f>IFERROR(_xlfn.XLOOKUP(B175,ABST!B:B,ABST!C:C,,0),"-")</f>
        <v>-</v>
      </c>
      <c r="G175" t="str">
        <f>_xlfn.XLOOKUP(E175,CD_EQUIPES!A:A,CD_EQUIPES!B:B,,0)</f>
        <v>NOITE</v>
      </c>
      <c r="H175">
        <f>_xlfn.XLOOKUP(TB_ATIVOS[[#This Row],[Chapa]],'8573'!D:D,'8573'!A:A,,0)</f>
        <v>180832</v>
      </c>
    </row>
    <row r="176" spans="1:8" x14ac:dyDescent="0.25">
      <c r="A176">
        <v>7237</v>
      </c>
      <c r="B176" t="s">
        <v>50</v>
      </c>
      <c r="C176" t="str">
        <f>_xlfn.TEXTBEFORE(B176, " ") &amp; " " &amp; _xlfn.TEXTAFTER(B176, " ", -1)</f>
        <v>ELIELSON PINTO</v>
      </c>
      <c r="D176" t="s">
        <v>323</v>
      </c>
      <c r="E176" t="s">
        <v>338</v>
      </c>
      <c r="F176" s="2" t="str">
        <f>IFERROR(_xlfn.XLOOKUP(B176,ABST!B:B,ABST!C:C,,0),"-")</f>
        <v>-</v>
      </c>
      <c r="G176" t="str">
        <f>_xlfn.XLOOKUP(E176,CD_EQUIPES!A:A,CD_EQUIPES!B:B,,0)</f>
        <v>NOITE</v>
      </c>
      <c r="H176">
        <f>_xlfn.XLOOKUP(TB_ATIVOS[[#This Row],[Chapa]],'8573'!D:D,'8573'!A:A,,0)</f>
        <v>180847</v>
      </c>
    </row>
    <row r="177" spans="1:8" x14ac:dyDescent="0.25">
      <c r="A177">
        <v>7280</v>
      </c>
      <c r="B177" t="s">
        <v>37</v>
      </c>
      <c r="C177" t="str">
        <f>_xlfn.TEXTBEFORE(B177, " ") &amp; " " &amp; _xlfn.TEXTAFTER(B177, " ", -1)</f>
        <v>DANIEL SILVA</v>
      </c>
      <c r="D177" t="s">
        <v>323</v>
      </c>
      <c r="E177" t="s">
        <v>338</v>
      </c>
      <c r="F177" s="2" t="str">
        <f>IFERROR(_xlfn.XLOOKUP(B177,ABST!B:B,ABST!C:C,,0),"-")</f>
        <v>-</v>
      </c>
      <c r="G177" t="str">
        <f>_xlfn.XLOOKUP(E177,CD_EQUIPES!A:A,CD_EQUIPES!B:B,,0)</f>
        <v>NOITE</v>
      </c>
      <c r="H177">
        <f>_xlfn.XLOOKUP(TB_ATIVOS[[#This Row],[Chapa]],'8573'!D:D,'8573'!A:A,,0)</f>
        <v>180868</v>
      </c>
    </row>
    <row r="178" spans="1:8" x14ac:dyDescent="0.25">
      <c r="A178">
        <v>7307</v>
      </c>
      <c r="B178" t="s">
        <v>129</v>
      </c>
      <c r="C178" t="str">
        <f>_xlfn.TEXTBEFORE(B178, " ") &amp; " " &amp; _xlfn.TEXTAFTER(B178, " ", -1)</f>
        <v>MAILSON SANTOS</v>
      </c>
      <c r="D178" t="s">
        <v>323</v>
      </c>
      <c r="E178" t="s">
        <v>338</v>
      </c>
      <c r="F178" s="2" t="str">
        <f>IFERROR(_xlfn.XLOOKUP(B178,ABST!B:B,ABST!C:C,,0),"-")</f>
        <v>-</v>
      </c>
      <c r="G178" t="str">
        <f>_xlfn.XLOOKUP(E178,CD_EQUIPES!A:A,CD_EQUIPES!B:B,,0)</f>
        <v>NOITE</v>
      </c>
      <c r="H178">
        <f>_xlfn.XLOOKUP(TB_ATIVOS[[#This Row],[Chapa]],'8573'!D:D,'8573'!A:A,,0)</f>
        <v>180884</v>
      </c>
    </row>
    <row r="179" spans="1:8" x14ac:dyDescent="0.25">
      <c r="A179">
        <v>7308</v>
      </c>
      <c r="B179" t="s">
        <v>156</v>
      </c>
      <c r="C179" t="str">
        <f>_xlfn.TEXTBEFORE(B179, " ") &amp; " " &amp; _xlfn.TEXTAFTER(B179, " ", -1)</f>
        <v>ROMARIO RAMOS</v>
      </c>
      <c r="D179" t="s">
        <v>323</v>
      </c>
      <c r="E179" t="s">
        <v>338</v>
      </c>
      <c r="F179" s="2" t="str">
        <f>IFERROR(_xlfn.XLOOKUP(B179,ABST!B:B,ABST!C:C,,0),"-")</f>
        <v>-</v>
      </c>
      <c r="G179" t="str">
        <f>_xlfn.XLOOKUP(E179,CD_EQUIPES!A:A,CD_EQUIPES!B:B,,0)</f>
        <v>NOITE</v>
      </c>
      <c r="H179">
        <f>_xlfn.XLOOKUP(TB_ATIVOS[[#This Row],[Chapa]],'8573'!D:D,'8573'!A:A,,0)</f>
        <v>180885</v>
      </c>
    </row>
    <row r="180" spans="1:8" x14ac:dyDescent="0.25">
      <c r="A180">
        <v>7380</v>
      </c>
      <c r="B180" t="s">
        <v>25</v>
      </c>
      <c r="C180" t="str">
        <f>_xlfn.TEXTBEFORE(B180, " ") &amp; " " &amp; _xlfn.TEXTAFTER(B180, " ", -1)</f>
        <v>CARLA VIEIRA</v>
      </c>
      <c r="D180" t="s">
        <v>323</v>
      </c>
      <c r="E180" t="s">
        <v>338</v>
      </c>
      <c r="F180" s="2" t="str">
        <f>IFERROR(_xlfn.XLOOKUP(B180,ABST!B:B,ABST!C:C,,0),"-")</f>
        <v>-</v>
      </c>
      <c r="G180" t="str">
        <f>_xlfn.XLOOKUP(E180,CD_EQUIPES!A:A,CD_EQUIPES!B:B,,0)</f>
        <v>NOITE</v>
      </c>
      <c r="H180">
        <f>_xlfn.XLOOKUP(TB_ATIVOS[[#This Row],[Chapa]],'8573'!D:D,'8573'!A:A,,0)</f>
        <v>180908</v>
      </c>
    </row>
    <row r="181" spans="1:8" x14ac:dyDescent="0.25">
      <c r="A181">
        <v>7416</v>
      </c>
      <c r="B181" t="s">
        <v>157</v>
      </c>
      <c r="C181" t="str">
        <f>_xlfn.TEXTBEFORE(B181, " ") &amp; " " &amp; _xlfn.TEXTAFTER(B181, " ", -1)</f>
        <v>RONI SILVA</v>
      </c>
      <c r="D181" t="s">
        <v>323</v>
      </c>
      <c r="E181" t="s">
        <v>338</v>
      </c>
      <c r="F181" s="2" t="str">
        <f>IFERROR(_xlfn.XLOOKUP(B181,ABST!B:B,ABST!C:C,,0),"-")</f>
        <v>-</v>
      </c>
      <c r="G181" t="str">
        <f>_xlfn.XLOOKUP(E181,CD_EQUIPES!A:A,CD_EQUIPES!B:B,,0)</f>
        <v>NOITE</v>
      </c>
      <c r="H181">
        <f>_xlfn.XLOOKUP(TB_ATIVOS[[#This Row],[Chapa]],'8573'!D:D,'8573'!A:A,,0)</f>
        <v>180921</v>
      </c>
    </row>
    <row r="182" spans="1:8" x14ac:dyDescent="0.25">
      <c r="A182">
        <v>7458</v>
      </c>
      <c r="B182" t="s">
        <v>116</v>
      </c>
      <c r="C182" t="str">
        <f>_xlfn.TEXTBEFORE(B182, " ") &amp; " " &amp; _xlfn.TEXTAFTER(B182, " ", -1)</f>
        <v>LUANA JESUS</v>
      </c>
      <c r="D182" t="s">
        <v>323</v>
      </c>
      <c r="E182" t="s">
        <v>338</v>
      </c>
      <c r="F182" s="2" t="str">
        <f>IFERROR(_xlfn.XLOOKUP(B182,ABST!B:B,ABST!C:C,,0),"-")</f>
        <v>-</v>
      </c>
      <c r="G182" t="str">
        <f>_xlfn.XLOOKUP(E182,CD_EQUIPES!A:A,CD_EQUIPES!B:B,,0)</f>
        <v>NOITE</v>
      </c>
      <c r="H182">
        <f>_xlfn.XLOOKUP(TB_ATIVOS[[#This Row],[Chapa]],'8573'!D:D,'8573'!A:A,,0)</f>
        <v>180938</v>
      </c>
    </row>
    <row r="183" spans="1:8" x14ac:dyDescent="0.25">
      <c r="A183">
        <v>7478</v>
      </c>
      <c r="B183" t="s">
        <v>173</v>
      </c>
      <c r="C183" t="str">
        <f>_xlfn.TEXTBEFORE(B183, " ") &amp; " " &amp; _xlfn.TEXTAFTER(B183, " ", -1)</f>
        <v>VICTORIA BEZERRA</v>
      </c>
      <c r="D183" t="s">
        <v>323</v>
      </c>
      <c r="E183" t="s">
        <v>338</v>
      </c>
      <c r="F183" s="2" t="str">
        <f>IFERROR(_xlfn.XLOOKUP(B183,ABST!B:B,ABST!C:C,,0),"-")</f>
        <v>-</v>
      </c>
      <c r="G183" t="str">
        <f>_xlfn.XLOOKUP(E183,CD_EQUIPES!A:A,CD_EQUIPES!B:B,,0)</f>
        <v>NOITE</v>
      </c>
      <c r="H183">
        <f>_xlfn.XLOOKUP(TB_ATIVOS[[#This Row],[Chapa]],'8573'!D:D,'8573'!A:A,,0)</f>
        <v>180946</v>
      </c>
    </row>
    <row r="184" spans="1:8" x14ac:dyDescent="0.25">
      <c r="A184">
        <v>7511</v>
      </c>
      <c r="B184" t="s">
        <v>108</v>
      </c>
      <c r="C184" t="str">
        <f>_xlfn.TEXTBEFORE(B184, " ") &amp; " " &amp; _xlfn.TEXTAFTER(B184, " ", -1)</f>
        <v>KAUAN COUTINHO</v>
      </c>
      <c r="D184" t="s">
        <v>323</v>
      </c>
      <c r="E184" t="s">
        <v>338</v>
      </c>
      <c r="F184" s="2" t="str">
        <f>IFERROR(_xlfn.XLOOKUP(B184,ABST!B:B,ABST!C:C,,0),"-")</f>
        <v>-</v>
      </c>
      <c r="G184" t="str">
        <f>_xlfn.XLOOKUP(E184,CD_EQUIPES!A:A,CD_EQUIPES!B:B,,0)</f>
        <v>NOITE</v>
      </c>
      <c r="H184">
        <f>_xlfn.XLOOKUP(TB_ATIVOS[[#This Row],[Chapa]],'8573'!D:D,'8573'!A:A,,0)</f>
        <v>180953</v>
      </c>
    </row>
    <row r="185" spans="1:8" x14ac:dyDescent="0.25">
      <c r="A185">
        <v>7562</v>
      </c>
      <c r="B185" t="s">
        <v>46</v>
      </c>
      <c r="C185" t="str">
        <f>_xlfn.TEXTBEFORE(B185, " ") &amp; " " &amp; _xlfn.TEXTAFTER(B185, " ", -1)</f>
        <v>ELAINE SANTOS</v>
      </c>
      <c r="D185" t="s">
        <v>323</v>
      </c>
      <c r="E185" t="s">
        <v>338</v>
      </c>
      <c r="F185" s="2" t="str">
        <f>IFERROR(_xlfn.XLOOKUP(B185,ABST!B:B,ABST!C:C,,0),"-")</f>
        <v>-</v>
      </c>
      <c r="G185" t="str">
        <f>_xlfn.XLOOKUP(E185,CD_EQUIPES!A:A,CD_EQUIPES!B:B,,0)</f>
        <v>NOITE</v>
      </c>
      <c r="H185">
        <f>_xlfn.XLOOKUP(TB_ATIVOS[[#This Row],[Chapa]],'8573'!D:D,'8573'!A:A,,0)</f>
        <v>180988</v>
      </c>
    </row>
    <row r="186" spans="1:8" x14ac:dyDescent="0.25">
      <c r="A186">
        <v>7614</v>
      </c>
      <c r="B186" t="s">
        <v>89</v>
      </c>
      <c r="C186" t="str">
        <f>_xlfn.TEXTBEFORE(B186, " ") &amp; " " &amp; _xlfn.TEXTAFTER(B186, " ", -1)</f>
        <v>JOANNE SANTOS</v>
      </c>
      <c r="D186" t="s">
        <v>323</v>
      </c>
      <c r="E186" t="s">
        <v>338</v>
      </c>
      <c r="F186" s="2" t="str">
        <f>IFERROR(_xlfn.XLOOKUP(B186,ABST!B:B,ABST!C:C,,0),"-")</f>
        <v>-</v>
      </c>
      <c r="G186" t="str">
        <f>_xlfn.XLOOKUP(E186,CD_EQUIPES!A:A,CD_EQUIPES!B:B,,0)</f>
        <v>NOITE</v>
      </c>
      <c r="H186">
        <f>_xlfn.XLOOKUP(TB_ATIVOS[[#This Row],[Chapa]],'8573'!D:D,'8573'!A:A,,0)</f>
        <v>181011</v>
      </c>
    </row>
    <row r="187" spans="1:8" x14ac:dyDescent="0.25">
      <c r="A187">
        <v>7626</v>
      </c>
      <c r="B187" t="s">
        <v>165</v>
      </c>
      <c r="C187" t="str">
        <f>_xlfn.TEXTBEFORE(B187, " ") &amp; " " &amp; _xlfn.TEXTAFTER(B187, " ", -1)</f>
        <v>TALITA OLIVEIRA</v>
      </c>
      <c r="D187" t="s">
        <v>323</v>
      </c>
      <c r="E187" t="s">
        <v>338</v>
      </c>
      <c r="F187" s="2" t="str">
        <f>IFERROR(_xlfn.XLOOKUP(B187,ABST!B:B,ABST!C:C,,0),"-")</f>
        <v>-</v>
      </c>
      <c r="G187" t="str">
        <f>_xlfn.XLOOKUP(E187,CD_EQUIPES!A:A,CD_EQUIPES!B:B,,0)</f>
        <v>NOITE</v>
      </c>
      <c r="H187">
        <f>_xlfn.XLOOKUP(TB_ATIVOS[[#This Row],[Chapa]],'8573'!D:D,'8573'!A:A,,0)</f>
        <v>181017</v>
      </c>
    </row>
    <row r="188" spans="1:8" x14ac:dyDescent="0.25">
      <c r="A188">
        <v>7643</v>
      </c>
      <c r="B188" t="s">
        <v>132</v>
      </c>
      <c r="C188" t="str">
        <f>_xlfn.TEXTBEFORE(B188, " ") &amp; " " &amp; _xlfn.TEXTAFTER(B188, " ", -1)</f>
        <v>MARCELO SILVA</v>
      </c>
      <c r="D188" t="s">
        <v>323</v>
      </c>
      <c r="E188" t="s">
        <v>335</v>
      </c>
      <c r="F188" s="2" t="str">
        <f>IFERROR(_xlfn.XLOOKUP(B188,ABST!B:B,ABST!C:C,,0),"-")</f>
        <v>-</v>
      </c>
      <c r="G188" t="str">
        <f>_xlfn.XLOOKUP(E188,CD_EQUIPES!A:A,CD_EQUIPES!B:B,,0)</f>
        <v>NOITE</v>
      </c>
      <c r="H188">
        <f>_xlfn.XLOOKUP(TB_ATIVOS[[#This Row],[Chapa]],'8573'!D:D,'8573'!A:A,,0)</f>
        <v>181031</v>
      </c>
    </row>
    <row r="189" spans="1:8" x14ac:dyDescent="0.25">
      <c r="A189">
        <v>7644</v>
      </c>
      <c r="B189" t="s">
        <v>57</v>
      </c>
      <c r="C189" t="str">
        <f>_xlfn.TEXTBEFORE(B189, " ") &amp; " " &amp; _xlfn.TEXTAFTER(B189, " ", -1)</f>
        <v>EVISSON DOURADO</v>
      </c>
      <c r="D189" t="s">
        <v>323</v>
      </c>
      <c r="E189" t="s">
        <v>338</v>
      </c>
      <c r="F189" s="2" t="str">
        <f>IFERROR(_xlfn.XLOOKUP(B189,ABST!B:B,ABST!C:C,,0),"-")</f>
        <v>-</v>
      </c>
      <c r="G189" t="str">
        <f>_xlfn.XLOOKUP(E189,CD_EQUIPES!A:A,CD_EQUIPES!B:B,,0)</f>
        <v>NOITE</v>
      </c>
      <c r="H189">
        <f>_xlfn.XLOOKUP(TB_ATIVOS[[#This Row],[Chapa]],'8573'!D:D,'8573'!A:A,,0)</f>
        <v>181032</v>
      </c>
    </row>
    <row r="190" spans="1:8" x14ac:dyDescent="0.25">
      <c r="A190">
        <v>7679</v>
      </c>
      <c r="B190" t="s">
        <v>111</v>
      </c>
      <c r="C190" t="str">
        <f>_xlfn.TEXTBEFORE(B190, " ") &amp; " " &amp; _xlfn.TEXTAFTER(B190, " ", -1)</f>
        <v>LEANDRO MONTEIRO</v>
      </c>
      <c r="D190" t="s">
        <v>323</v>
      </c>
      <c r="E190" t="s">
        <v>335</v>
      </c>
      <c r="F190" s="2" t="str">
        <f>IFERROR(_xlfn.XLOOKUP(B190,ABST!B:B,ABST!C:C,,0),"-")</f>
        <v>-</v>
      </c>
      <c r="G190" t="str">
        <f>_xlfn.XLOOKUP(E190,CD_EQUIPES!A:A,CD_EQUIPES!B:B,,0)</f>
        <v>NOITE</v>
      </c>
      <c r="H190">
        <f>_xlfn.XLOOKUP(TB_ATIVOS[[#This Row],[Chapa]],'8573'!D:D,'8573'!A:A,,0)</f>
        <v>181043</v>
      </c>
    </row>
    <row r="191" spans="1:8" x14ac:dyDescent="0.25">
      <c r="A191">
        <v>7693</v>
      </c>
      <c r="B191" t="s">
        <v>62</v>
      </c>
      <c r="C191" t="str">
        <f>_xlfn.TEXTBEFORE(B191, " ") &amp; " " &amp; _xlfn.TEXTAFTER(B191, " ", -1)</f>
        <v>FRANCINETE DINIZ</v>
      </c>
      <c r="D191" t="s">
        <v>323</v>
      </c>
      <c r="E191" t="s">
        <v>338</v>
      </c>
      <c r="F191" s="2" t="str">
        <f>IFERROR(_xlfn.XLOOKUP(B191,ABST!B:B,ABST!C:C,,0),"-")</f>
        <v>-</v>
      </c>
      <c r="G191" t="str">
        <f>_xlfn.XLOOKUP(E191,CD_EQUIPES!A:A,CD_EQUIPES!B:B,,0)</f>
        <v>NOITE</v>
      </c>
      <c r="H191">
        <f>_xlfn.XLOOKUP(TB_ATIVOS[[#This Row],[Chapa]],'8573'!D:D,'8573'!A:A,,0)</f>
        <v>181054</v>
      </c>
    </row>
    <row r="192" spans="1:8" x14ac:dyDescent="0.25">
      <c r="A192">
        <v>7761</v>
      </c>
      <c r="B192" t="s">
        <v>95</v>
      </c>
      <c r="C192" t="str">
        <f>_xlfn.TEXTBEFORE(B192, " ") &amp; " " &amp; _xlfn.TEXTAFTER(B192, " ", -1)</f>
        <v>JONATAS SOBRAL</v>
      </c>
      <c r="D192" t="s">
        <v>323</v>
      </c>
      <c r="E192" t="s">
        <v>338</v>
      </c>
      <c r="F192" s="2" t="str">
        <f>IFERROR(_xlfn.XLOOKUP(B192,ABST!B:B,ABST!C:C,,0),"-")</f>
        <v>-</v>
      </c>
      <c r="G192" t="str">
        <f>_xlfn.XLOOKUP(E192,CD_EQUIPES!A:A,CD_EQUIPES!B:B,,0)</f>
        <v>NOITE</v>
      </c>
      <c r="H192">
        <f>_xlfn.XLOOKUP(TB_ATIVOS[[#This Row],[Chapa]],'8573'!D:D,'8573'!A:A,,0)</f>
        <v>181099</v>
      </c>
    </row>
    <row r="193" spans="1:8" x14ac:dyDescent="0.25">
      <c r="A193">
        <v>7762</v>
      </c>
      <c r="B193" t="s">
        <v>32</v>
      </c>
      <c r="C193" t="str">
        <f>_xlfn.TEXTBEFORE(B193, " ") &amp; " " &amp; _xlfn.TEXTAFTER(B193, " ", -1)</f>
        <v>CHRISTAL ROSA</v>
      </c>
      <c r="D193" t="s">
        <v>323</v>
      </c>
      <c r="E193" t="s">
        <v>338</v>
      </c>
      <c r="F193" s="2" t="str">
        <f>IFERROR(_xlfn.XLOOKUP(B193,ABST!B:B,ABST!C:C,,0),"-")</f>
        <v>-</v>
      </c>
      <c r="G193" t="str">
        <f>_xlfn.XLOOKUP(E193,CD_EQUIPES!A:A,CD_EQUIPES!B:B,,0)</f>
        <v>NOITE</v>
      </c>
      <c r="H193">
        <f>_xlfn.XLOOKUP(TB_ATIVOS[[#This Row],[Chapa]],'8573'!D:D,'8573'!A:A,,0)</f>
        <v>181100</v>
      </c>
    </row>
    <row r="194" spans="1:8" x14ac:dyDescent="0.25">
      <c r="A194">
        <v>7779</v>
      </c>
      <c r="B194" t="s">
        <v>64</v>
      </c>
      <c r="C194" t="str">
        <f>_xlfn.TEXTBEFORE(B194, " ") &amp; " " &amp; _xlfn.TEXTAFTER(B194, " ", -1)</f>
        <v>FRANCISCO SOUSA</v>
      </c>
      <c r="D194" t="s">
        <v>323</v>
      </c>
      <c r="E194" t="s">
        <v>338</v>
      </c>
      <c r="F194" s="2" t="str">
        <f>IFERROR(_xlfn.XLOOKUP(B194,ABST!B:B,ABST!C:C,,0),"-")</f>
        <v>-</v>
      </c>
      <c r="G194" t="str">
        <f>_xlfn.XLOOKUP(E194,CD_EQUIPES!A:A,CD_EQUIPES!B:B,,0)</f>
        <v>NOITE</v>
      </c>
      <c r="H194">
        <f>_xlfn.XLOOKUP(TB_ATIVOS[[#This Row],[Chapa]],'8573'!D:D,'8573'!A:A,,0)</f>
        <v>181107</v>
      </c>
    </row>
    <row r="195" spans="1:8" x14ac:dyDescent="0.25">
      <c r="A195">
        <v>7777</v>
      </c>
      <c r="B195" t="s">
        <v>56</v>
      </c>
      <c r="C195" t="str">
        <f>_xlfn.TEXTBEFORE(B195, " ") &amp; " " &amp; _xlfn.TEXTAFTER(B195, " ", -1)</f>
        <v>EVAIR MARTINS</v>
      </c>
      <c r="D195" t="s">
        <v>323</v>
      </c>
      <c r="E195" t="s">
        <v>335</v>
      </c>
      <c r="F195" s="2" t="str">
        <f>IFERROR(_xlfn.XLOOKUP(B195,ABST!B:B,ABST!C:C,,0),"-")</f>
        <v>-</v>
      </c>
      <c r="G195" t="str">
        <f>_xlfn.XLOOKUP(E195,CD_EQUIPES!A:A,CD_EQUIPES!B:B,,0)</f>
        <v>NOITE</v>
      </c>
      <c r="H195">
        <f>_xlfn.XLOOKUP(TB_ATIVOS[[#This Row],[Chapa]],'8573'!D:D,'8573'!A:A,,0)</f>
        <v>181109</v>
      </c>
    </row>
    <row r="196" spans="1:8" x14ac:dyDescent="0.25">
      <c r="A196">
        <v>7810</v>
      </c>
      <c r="B196" t="s">
        <v>158</v>
      </c>
      <c r="C196" t="str">
        <f>_xlfn.TEXTBEFORE(B196, " ") &amp; " " &amp; _xlfn.TEXTAFTER(B196, " ", -1)</f>
        <v>ROSEANE SANTOS</v>
      </c>
      <c r="D196" t="s">
        <v>323</v>
      </c>
      <c r="E196" t="s">
        <v>338</v>
      </c>
      <c r="F196" s="2" t="str">
        <f>IFERROR(_xlfn.XLOOKUP(B196,ABST!B:B,ABST!C:C,,0),"-")</f>
        <v>-</v>
      </c>
      <c r="G196" t="str">
        <f>_xlfn.XLOOKUP(E196,CD_EQUIPES!A:A,CD_EQUIPES!B:B,,0)</f>
        <v>NOITE</v>
      </c>
      <c r="H196">
        <f>_xlfn.XLOOKUP(TB_ATIVOS[[#This Row],[Chapa]],'8573'!D:D,'8573'!A:A,,0)</f>
        <v>181123</v>
      </c>
    </row>
    <row r="197" spans="1:8" x14ac:dyDescent="0.25">
      <c r="A197">
        <v>7809</v>
      </c>
      <c r="B197" t="s">
        <v>359</v>
      </c>
      <c r="C197" t="str">
        <f>_xlfn.TEXTBEFORE(B197, " ") &amp; " " &amp; _xlfn.TEXTAFTER(B197, " ", -1)</f>
        <v>LUZIANA TEIXEIRA</v>
      </c>
      <c r="D197" t="s">
        <v>323</v>
      </c>
      <c r="E197" t="s">
        <v>338</v>
      </c>
      <c r="F197" s="2" t="str">
        <f>IFERROR(_xlfn.XLOOKUP(B197,ABST!B:B,ABST!C:C,,0),"-")</f>
        <v>-</v>
      </c>
      <c r="G197" t="str">
        <f>_xlfn.XLOOKUP(E197,CD_EQUIPES!A:A,CD_EQUIPES!B:B,,0)</f>
        <v>NOITE</v>
      </c>
      <c r="H197">
        <f>_xlfn.XLOOKUP(TB_ATIVOS[[#This Row],[Chapa]],'8573'!D:D,'8573'!A:A,,0)</f>
        <v>181124</v>
      </c>
    </row>
    <row r="198" spans="1:8" x14ac:dyDescent="0.25">
      <c r="A198">
        <v>7808</v>
      </c>
      <c r="B198" t="s">
        <v>356</v>
      </c>
      <c r="C198" t="str">
        <f>_xlfn.TEXTBEFORE(B198, " ") &amp; " " &amp; _xlfn.TEXTAFTER(B198, " ", -1)</f>
        <v>GESSICA SOUZA</v>
      </c>
      <c r="D198" t="s">
        <v>323</v>
      </c>
      <c r="E198" t="s">
        <v>338</v>
      </c>
      <c r="F198" s="2" t="str">
        <f>IFERROR(_xlfn.XLOOKUP(B198,ABST!B:B,ABST!C:C,,0),"-")</f>
        <v>-</v>
      </c>
      <c r="G198" t="str">
        <f>_xlfn.XLOOKUP(E198,CD_EQUIPES!A:A,CD_EQUIPES!B:B,,0)</f>
        <v>NOITE</v>
      </c>
      <c r="H198">
        <f>_xlfn.XLOOKUP(TB_ATIVOS[[#This Row],[Chapa]],'8573'!D:D,'8573'!A:A,,0)</f>
        <v>181125</v>
      </c>
    </row>
    <row r="199" spans="1:8" x14ac:dyDescent="0.25">
      <c r="A199">
        <v>7821</v>
      </c>
      <c r="B199" t="s">
        <v>121</v>
      </c>
      <c r="C199" t="str">
        <f>_xlfn.TEXTBEFORE(B199, " ") &amp; " " &amp; _xlfn.TEXTAFTER(B199, " ", -1)</f>
        <v>LUCIANA SANTOS</v>
      </c>
      <c r="D199" t="s">
        <v>323</v>
      </c>
      <c r="E199" t="s">
        <v>338</v>
      </c>
      <c r="F199" s="2" t="str">
        <f>IFERROR(_xlfn.XLOOKUP(B199,ABST!B:B,ABST!C:C,,0),"-")</f>
        <v>-</v>
      </c>
      <c r="G199" t="str">
        <f>_xlfn.XLOOKUP(E199,CD_EQUIPES!A:A,CD_EQUIPES!B:B,,0)</f>
        <v>NOITE</v>
      </c>
      <c r="H199">
        <f>_xlfn.XLOOKUP(TB_ATIVOS[[#This Row],[Chapa]],'8573'!D:D,'8573'!A:A,,0)</f>
        <v>181127</v>
      </c>
    </row>
    <row r="200" spans="1:8" x14ac:dyDescent="0.25">
      <c r="A200">
        <v>7876</v>
      </c>
      <c r="B200" t="s">
        <v>270</v>
      </c>
      <c r="C200" t="str">
        <f>_xlfn.TEXTBEFORE(B200, " ") &amp; " " &amp; _xlfn.TEXTAFTER(B200, " ", -1)</f>
        <v>EDNAELTON SILVA</v>
      </c>
      <c r="D200" t="s">
        <v>323</v>
      </c>
      <c r="E200" t="s">
        <v>338</v>
      </c>
      <c r="F200" s="2" t="str">
        <f>IFERROR(_xlfn.XLOOKUP(B200,ABST!B:B,ABST!C:C,,0),"-")</f>
        <v>-</v>
      </c>
      <c r="G200" t="str">
        <f>_xlfn.XLOOKUP(E200,CD_EQUIPES!A:A,CD_EQUIPES!B:B,,0)</f>
        <v>NOITE</v>
      </c>
      <c r="H200">
        <f>_xlfn.XLOOKUP(TB_ATIVOS[[#This Row],[Chapa]],'8573'!D:D,'8573'!A:A,,0)</f>
        <v>181152</v>
      </c>
    </row>
    <row r="201" spans="1:8" x14ac:dyDescent="0.25">
      <c r="A201">
        <v>7881</v>
      </c>
      <c r="B201" t="s">
        <v>261</v>
      </c>
      <c r="C201" t="str">
        <f>_xlfn.TEXTBEFORE(B201, " ") &amp; " " &amp; _xlfn.TEXTAFTER(B201, " ", -1)</f>
        <v>EMANUELL SILVA</v>
      </c>
      <c r="D201" t="s">
        <v>323</v>
      </c>
      <c r="E201" t="s">
        <v>338</v>
      </c>
      <c r="F201" s="2" t="str">
        <f>IFERROR(_xlfn.XLOOKUP(B201,ABST!B:B,ABST!C:C,,0),"-")</f>
        <v>-</v>
      </c>
      <c r="G201" t="str">
        <f>_xlfn.XLOOKUP(E201,CD_EQUIPES!A:A,CD_EQUIPES!B:B,,0)</f>
        <v>NOITE</v>
      </c>
      <c r="H201">
        <f>_xlfn.XLOOKUP(TB_ATIVOS[[#This Row],[Chapa]],'8573'!D:D,'8573'!A:A,,0)</f>
        <v>181155</v>
      </c>
    </row>
    <row r="202" spans="1:8" x14ac:dyDescent="0.25">
      <c r="A202">
        <v>7898</v>
      </c>
      <c r="B202" t="s">
        <v>273</v>
      </c>
      <c r="C202" t="str">
        <f>_xlfn.TEXTBEFORE(B202, " ") &amp; " " &amp; _xlfn.TEXTAFTER(B202, " ", -1)</f>
        <v>KETILYN GOMES</v>
      </c>
      <c r="D202" t="s">
        <v>323</v>
      </c>
      <c r="E202" t="s">
        <v>338</v>
      </c>
      <c r="F202" s="2" t="str">
        <f>IFERROR(_xlfn.XLOOKUP(B202,ABST!B:B,ABST!C:C,,0),"-")</f>
        <v>-</v>
      </c>
      <c r="G202" t="str">
        <f>_xlfn.XLOOKUP(E202,CD_EQUIPES!A:A,CD_EQUIPES!B:B,,0)</f>
        <v>NOITE</v>
      </c>
      <c r="H202">
        <f>_xlfn.XLOOKUP(TB_ATIVOS[[#This Row],[Chapa]],'8573'!D:D,'8573'!A:A,,0)</f>
        <v>181169</v>
      </c>
    </row>
    <row r="203" spans="1:8" x14ac:dyDescent="0.25">
      <c r="A203">
        <v>7908</v>
      </c>
      <c r="B203" t="s">
        <v>255</v>
      </c>
      <c r="C203" t="str">
        <f>_xlfn.TEXTBEFORE(B203, " ") &amp; " " &amp; _xlfn.TEXTAFTER(B203, " ", -1)</f>
        <v>VALDEILSON FELIX</v>
      </c>
      <c r="D203" t="s">
        <v>323</v>
      </c>
      <c r="E203" t="s">
        <v>335</v>
      </c>
      <c r="F203" s="2" t="str">
        <f>IFERROR(_xlfn.XLOOKUP(B203,ABST!B:B,ABST!C:C,,0),"-")</f>
        <v>-</v>
      </c>
      <c r="G203" t="str">
        <f>_xlfn.XLOOKUP(E203,CD_EQUIPES!A:A,CD_EQUIPES!B:B,,0)</f>
        <v>NOITE</v>
      </c>
      <c r="H203">
        <f>_xlfn.XLOOKUP(TB_ATIVOS[[#This Row],[Chapa]],'8573'!D:D,'8573'!A:A,,0)</f>
        <v>181174</v>
      </c>
    </row>
    <row r="204" spans="1:8" x14ac:dyDescent="0.25">
      <c r="A204">
        <v>7916</v>
      </c>
      <c r="B204" t="s">
        <v>263</v>
      </c>
      <c r="C204" t="str">
        <f>_xlfn.TEXTBEFORE(B204, " ") &amp; " " &amp; _xlfn.TEXTAFTER(B204, " ", -1)</f>
        <v>VERONICE SANTOS</v>
      </c>
      <c r="D204" t="s">
        <v>323</v>
      </c>
      <c r="E204" t="s">
        <v>338</v>
      </c>
      <c r="F204" s="2" t="str">
        <f>IFERROR(_xlfn.XLOOKUP(B204,ABST!B:B,ABST!C:C,,0),"-")</f>
        <v>-</v>
      </c>
      <c r="G204" t="str">
        <f>_xlfn.XLOOKUP(E204,CD_EQUIPES!A:A,CD_EQUIPES!B:B,,0)</f>
        <v>NOITE</v>
      </c>
      <c r="H204">
        <f>_xlfn.XLOOKUP(TB_ATIVOS[[#This Row],[Chapa]],'8573'!D:D,'8573'!A:A,,0)</f>
        <v>181178</v>
      </c>
    </row>
    <row r="205" spans="1:8" x14ac:dyDescent="0.25">
      <c r="A205">
        <v>7922</v>
      </c>
      <c r="B205" t="s">
        <v>266</v>
      </c>
      <c r="C205" t="str">
        <f>_xlfn.TEXTBEFORE(B205, " ") &amp; " " &amp; _xlfn.TEXTAFTER(B205, " ", -1)</f>
        <v>PAULO OLIVEIRA</v>
      </c>
      <c r="D205" t="s">
        <v>323</v>
      </c>
      <c r="E205" t="s">
        <v>334</v>
      </c>
      <c r="F205" s="2" t="str">
        <f>IFERROR(_xlfn.XLOOKUP(B205,ABST!B:B,ABST!C:C,,0),"-")</f>
        <v>ABASTECEDOR</v>
      </c>
      <c r="G205" t="str">
        <f>_xlfn.XLOOKUP(E205,CD_EQUIPES!A:A,CD_EQUIPES!B:B,,0)</f>
        <v>NOITE</v>
      </c>
      <c r="H205">
        <f>_xlfn.XLOOKUP(TB_ATIVOS[[#This Row],[Chapa]],'8573'!D:D,'8573'!A:A,,0)</f>
        <v>181181</v>
      </c>
    </row>
    <row r="206" spans="1:8" x14ac:dyDescent="0.25">
      <c r="A206">
        <v>7926</v>
      </c>
      <c r="B206" t="s">
        <v>272</v>
      </c>
      <c r="C206" t="str">
        <f>_xlfn.TEXTBEFORE(B206, " ") &amp; " " &amp; _xlfn.TEXTAFTER(B206, " ", -1)</f>
        <v>KLEBER LIMA</v>
      </c>
      <c r="D206" t="s">
        <v>323</v>
      </c>
      <c r="E206" t="s">
        <v>335</v>
      </c>
      <c r="F206" s="2" t="str">
        <f>IFERROR(_xlfn.XLOOKUP(B206,ABST!B:B,ABST!C:C,,0),"-")</f>
        <v>-</v>
      </c>
      <c r="G206" t="str">
        <f>_xlfn.XLOOKUP(E206,CD_EQUIPES!A:A,CD_EQUIPES!B:B,,0)</f>
        <v>NOITE</v>
      </c>
      <c r="H206">
        <f>_xlfn.XLOOKUP(TB_ATIVOS[[#This Row],[Chapa]],'8573'!D:D,'8573'!A:A,,0)</f>
        <v>181185</v>
      </c>
    </row>
    <row r="207" spans="1:8" x14ac:dyDescent="0.25">
      <c r="A207">
        <v>7927</v>
      </c>
      <c r="B207" t="s">
        <v>256</v>
      </c>
      <c r="C207" t="str">
        <f>_xlfn.TEXTBEFORE(B207, " ") &amp; " " &amp; _xlfn.TEXTAFTER(B207, " ", -1)</f>
        <v>LUIS VIEGAS</v>
      </c>
      <c r="D207" t="s">
        <v>323</v>
      </c>
      <c r="E207" t="s">
        <v>335</v>
      </c>
      <c r="F207" s="2" t="str">
        <f>IFERROR(_xlfn.XLOOKUP(B207,ABST!B:B,ABST!C:C,,0),"-")</f>
        <v>-</v>
      </c>
      <c r="G207" t="str">
        <f>_xlfn.XLOOKUP(E207,CD_EQUIPES!A:A,CD_EQUIPES!B:B,,0)</f>
        <v>NOITE</v>
      </c>
      <c r="H207">
        <f>_xlfn.XLOOKUP(TB_ATIVOS[[#This Row],[Chapa]],'8573'!D:D,'8573'!A:A,,0)</f>
        <v>181186</v>
      </c>
    </row>
    <row r="208" spans="1:8" x14ac:dyDescent="0.25">
      <c r="A208">
        <v>7938</v>
      </c>
      <c r="B208" t="s">
        <v>269</v>
      </c>
      <c r="C208" t="str">
        <f>_xlfn.TEXTBEFORE(B208, " ") &amp; " " &amp; _xlfn.TEXTAFTER(B208, " ", -1)</f>
        <v>JONIVALDO FREITAS</v>
      </c>
      <c r="D208" t="s">
        <v>323</v>
      </c>
      <c r="E208" t="s">
        <v>338</v>
      </c>
      <c r="F208" s="2" t="str">
        <f>IFERROR(_xlfn.XLOOKUP(B208,ABST!B:B,ABST!C:C,,0),"-")</f>
        <v>-</v>
      </c>
      <c r="G208" t="str">
        <f>_xlfn.XLOOKUP(E208,CD_EQUIPES!A:A,CD_EQUIPES!B:B,,0)</f>
        <v>NOITE</v>
      </c>
      <c r="H208">
        <f>_xlfn.XLOOKUP(TB_ATIVOS[[#This Row],[Chapa]],'8573'!D:D,'8573'!A:A,,0)</f>
        <v>181191</v>
      </c>
    </row>
    <row r="209" spans="1:8" x14ac:dyDescent="0.25">
      <c r="A209">
        <v>7936</v>
      </c>
      <c r="B209" t="s">
        <v>262</v>
      </c>
      <c r="C209" t="str">
        <f>_xlfn.TEXTBEFORE(B209, " ") &amp; " " &amp; _xlfn.TEXTAFTER(B209, " ", -1)</f>
        <v>RODRIGO SANTANA</v>
      </c>
      <c r="D209" t="s">
        <v>323</v>
      </c>
      <c r="E209" t="s">
        <v>335</v>
      </c>
      <c r="F209" s="2" t="str">
        <f>IFERROR(_xlfn.XLOOKUP(B209,ABST!B:B,ABST!C:C,,0),"-")</f>
        <v>-</v>
      </c>
      <c r="G209" t="str">
        <f>_xlfn.XLOOKUP(E209,CD_EQUIPES!A:A,CD_EQUIPES!B:B,,0)</f>
        <v>NOITE</v>
      </c>
      <c r="H209">
        <f>_xlfn.XLOOKUP(TB_ATIVOS[[#This Row],[Chapa]],'8573'!D:D,'8573'!A:A,,0)</f>
        <v>181195</v>
      </c>
    </row>
    <row r="210" spans="1:8" x14ac:dyDescent="0.25">
      <c r="A210">
        <v>7946</v>
      </c>
      <c r="B210" t="s">
        <v>260</v>
      </c>
      <c r="C210" t="str">
        <f>_xlfn.TEXTBEFORE(B210, " ") &amp; " " &amp; _xlfn.TEXTAFTER(B210, " ", -1)</f>
        <v>FERNANDA LEAO</v>
      </c>
      <c r="D210" t="s">
        <v>323</v>
      </c>
      <c r="E210" t="s">
        <v>338</v>
      </c>
      <c r="F210" s="2" t="str">
        <f>IFERROR(_xlfn.XLOOKUP(B210,ABST!B:B,ABST!C:C,,0),"-")</f>
        <v>-</v>
      </c>
      <c r="G210" t="str">
        <f>_xlfn.XLOOKUP(E210,CD_EQUIPES!A:A,CD_EQUIPES!B:B,,0)</f>
        <v>NOITE</v>
      </c>
      <c r="H210">
        <f>_xlfn.XLOOKUP(TB_ATIVOS[[#This Row],[Chapa]],'8573'!D:D,'8573'!A:A,,0)</f>
        <v>181202</v>
      </c>
    </row>
    <row r="211" spans="1:8" x14ac:dyDescent="0.25">
      <c r="A211">
        <v>7947</v>
      </c>
      <c r="B211" t="s">
        <v>257</v>
      </c>
      <c r="C211" t="str">
        <f>_xlfn.TEXTBEFORE(B211, " ") &amp; " " &amp; _xlfn.TEXTAFTER(B211, " ", -1)</f>
        <v>JANAINA PAIXAO</v>
      </c>
      <c r="D211" t="s">
        <v>323</v>
      </c>
      <c r="E211" t="s">
        <v>338</v>
      </c>
      <c r="F211" s="2" t="str">
        <f>IFERROR(_xlfn.XLOOKUP(B211,ABST!B:B,ABST!C:C,,0),"-")</f>
        <v>-</v>
      </c>
      <c r="G211" t="str">
        <f>_xlfn.XLOOKUP(E211,CD_EQUIPES!A:A,CD_EQUIPES!B:B,,0)</f>
        <v>NOITE</v>
      </c>
      <c r="H211">
        <f>_xlfn.XLOOKUP(TB_ATIVOS[[#This Row],[Chapa]],'8573'!D:D,'8573'!A:A,,0)</f>
        <v>181203</v>
      </c>
    </row>
    <row r="212" spans="1:8" x14ac:dyDescent="0.25">
      <c r="A212">
        <v>7954</v>
      </c>
      <c r="B212" t="s">
        <v>259</v>
      </c>
      <c r="C212" t="str">
        <f>_xlfn.TEXTBEFORE(B212, " ") &amp; " " &amp; _xlfn.TEXTAFTER(B212, " ", -1)</f>
        <v>MILENA NUNES</v>
      </c>
      <c r="D212" t="s">
        <v>323</v>
      </c>
      <c r="E212" t="s">
        <v>338</v>
      </c>
      <c r="F212" s="2" t="str">
        <f>IFERROR(_xlfn.XLOOKUP(B212,ABST!B:B,ABST!C:C,,0),"-")</f>
        <v>-</v>
      </c>
      <c r="G212" t="str">
        <f>_xlfn.XLOOKUP(E212,CD_EQUIPES!A:A,CD_EQUIPES!B:B,,0)</f>
        <v>NOITE</v>
      </c>
      <c r="H212">
        <f>_xlfn.XLOOKUP(TB_ATIVOS[[#This Row],[Chapa]],'8573'!D:D,'8573'!A:A,,0)</f>
        <v>181206</v>
      </c>
    </row>
    <row r="213" spans="1:8" x14ac:dyDescent="0.25">
      <c r="A213">
        <v>7964</v>
      </c>
      <c r="B213" t="s">
        <v>264</v>
      </c>
      <c r="C213" t="str">
        <f>_xlfn.TEXTBEFORE(B213, " ") &amp; " " &amp; _xlfn.TEXTAFTER(B213, " ", -1)</f>
        <v>ELIANE SANTOS</v>
      </c>
      <c r="D213" t="s">
        <v>323</v>
      </c>
      <c r="E213" t="s">
        <v>338</v>
      </c>
      <c r="F213" s="2" t="str">
        <f>IFERROR(_xlfn.XLOOKUP(B213,ABST!B:B,ABST!C:C,,0),"-")</f>
        <v>-</v>
      </c>
      <c r="G213" t="str">
        <f>_xlfn.XLOOKUP(E213,CD_EQUIPES!A:A,CD_EQUIPES!B:B,,0)</f>
        <v>NOITE</v>
      </c>
      <c r="H213">
        <f>_xlfn.XLOOKUP(TB_ATIVOS[[#This Row],[Chapa]],'8573'!D:D,'8573'!A:A,,0)</f>
        <v>181211</v>
      </c>
    </row>
    <row r="214" spans="1:8" x14ac:dyDescent="0.25">
      <c r="A214">
        <v>7974</v>
      </c>
      <c r="B214" t="s">
        <v>267</v>
      </c>
      <c r="C214" t="str">
        <f>_xlfn.TEXTBEFORE(B214, " ") &amp; " " &amp; _xlfn.TEXTAFTER(B214, " ", -1)</f>
        <v>ANTONIO FILHO</v>
      </c>
      <c r="D214" t="s">
        <v>323</v>
      </c>
      <c r="E214" t="s">
        <v>338</v>
      </c>
      <c r="F214" s="2" t="str">
        <f>IFERROR(_xlfn.XLOOKUP(B214,ABST!B:B,ABST!C:C,,0),"-")</f>
        <v>-</v>
      </c>
      <c r="G214" t="str">
        <f>_xlfn.XLOOKUP(E214,CD_EQUIPES!A:A,CD_EQUIPES!B:B,,0)</f>
        <v>NOITE</v>
      </c>
      <c r="H214">
        <f>_xlfn.XLOOKUP(TB_ATIVOS[[#This Row],[Chapa]],'8573'!D:D,'8573'!A:A,,0)</f>
        <v>181216</v>
      </c>
    </row>
    <row r="215" spans="1:8" x14ac:dyDescent="0.25">
      <c r="A215">
        <v>8007</v>
      </c>
      <c r="B215" t="s">
        <v>301</v>
      </c>
      <c r="C215" t="str">
        <f>_xlfn.TEXTBEFORE(B215, " ") &amp; " " &amp; _xlfn.TEXTAFTER(B215, " ", -1)</f>
        <v>JOSE SANTOS</v>
      </c>
      <c r="D215" t="s">
        <v>323</v>
      </c>
      <c r="E215" t="s">
        <v>335</v>
      </c>
      <c r="F215" s="2" t="str">
        <f>IFERROR(_xlfn.XLOOKUP(B215,ABST!B:B,ABST!C:C,,0),"-")</f>
        <v>-</v>
      </c>
      <c r="G215" t="str">
        <f>_xlfn.XLOOKUP(E215,CD_EQUIPES!A:A,CD_EQUIPES!B:B,,0)</f>
        <v>NOITE</v>
      </c>
      <c r="H215">
        <f>_xlfn.XLOOKUP(TB_ATIVOS[[#This Row],[Chapa]],'8573'!D:D,'8573'!A:A,,0)</f>
        <v>181230</v>
      </c>
    </row>
    <row r="216" spans="1:8" x14ac:dyDescent="0.25">
      <c r="A216">
        <v>8008</v>
      </c>
      <c r="B216" t="s">
        <v>302</v>
      </c>
      <c r="C216" t="str">
        <f>_xlfn.TEXTBEFORE(B216, " ") &amp; " " &amp; _xlfn.TEXTAFTER(B216, " ", -1)</f>
        <v>THAYSON GOMES</v>
      </c>
      <c r="D216" t="s">
        <v>323</v>
      </c>
      <c r="E216" t="s">
        <v>335</v>
      </c>
      <c r="F216" s="2" t="str">
        <f>IFERROR(_xlfn.XLOOKUP(B216,ABST!B:B,ABST!C:C,,0),"-")</f>
        <v>-</v>
      </c>
      <c r="G216" t="str">
        <f>_xlfn.XLOOKUP(E216,CD_EQUIPES!A:A,CD_EQUIPES!B:B,,0)</f>
        <v>NOITE</v>
      </c>
      <c r="H216">
        <f>_xlfn.XLOOKUP(TB_ATIVOS[[#This Row],[Chapa]],'8573'!D:D,'8573'!A:A,,0)</f>
        <v>181232</v>
      </c>
    </row>
    <row r="217" spans="1:8" x14ac:dyDescent="0.25">
      <c r="A217">
        <v>8017</v>
      </c>
      <c r="B217" t="s">
        <v>319</v>
      </c>
      <c r="C217" t="str">
        <f>_xlfn.TEXTBEFORE(B217, " ") &amp; " " &amp; _xlfn.TEXTAFTER(B217, " ", -1)</f>
        <v>EMILLY ALMEIDA</v>
      </c>
      <c r="D217" t="s">
        <v>323</v>
      </c>
      <c r="E217" t="s">
        <v>338</v>
      </c>
      <c r="F217" s="2" t="str">
        <f>IFERROR(_xlfn.XLOOKUP(B217,ABST!B:B,ABST!C:C,,0),"-")</f>
        <v>-</v>
      </c>
      <c r="G217" t="str">
        <f>_xlfn.XLOOKUP(E217,CD_EQUIPES!A:A,CD_EQUIPES!B:B,,0)</f>
        <v>NOITE</v>
      </c>
      <c r="H217">
        <f>_xlfn.XLOOKUP(TB_ATIVOS[[#This Row],[Chapa]],'8573'!D:D,'8573'!A:A,,0)</f>
        <v>181239</v>
      </c>
    </row>
    <row r="218" spans="1:8" x14ac:dyDescent="0.25">
      <c r="A218">
        <v>8016</v>
      </c>
      <c r="B218" t="s">
        <v>297</v>
      </c>
      <c r="C218" t="str">
        <f>_xlfn.TEXTBEFORE(B218, " ") &amp; " " &amp; _xlfn.TEXTAFTER(B218, " ", -1)</f>
        <v>JOSIVAN FERREIRA</v>
      </c>
      <c r="D218" t="s">
        <v>323</v>
      </c>
      <c r="E218" t="s">
        <v>338</v>
      </c>
      <c r="F218" s="2" t="str">
        <f>IFERROR(_xlfn.XLOOKUP(B218,ABST!B:B,ABST!C:C,,0),"-")</f>
        <v>-</v>
      </c>
      <c r="G218" t="str">
        <f>_xlfn.XLOOKUP(E218,CD_EQUIPES!A:A,CD_EQUIPES!B:B,,0)</f>
        <v>NOITE</v>
      </c>
      <c r="H218">
        <f>_xlfn.XLOOKUP(TB_ATIVOS[[#This Row],[Chapa]],'8573'!D:D,'8573'!A:A,,0)</f>
        <v>181240</v>
      </c>
    </row>
    <row r="219" spans="1:8" x14ac:dyDescent="0.25">
      <c r="A219">
        <v>8018</v>
      </c>
      <c r="B219" t="s">
        <v>309</v>
      </c>
      <c r="C219" t="str">
        <f>_xlfn.TEXTBEFORE(B219, " ") &amp; " " &amp; _xlfn.TEXTAFTER(B219, " ", -1)</f>
        <v>JOSE BETANCOURT</v>
      </c>
      <c r="D219" t="s">
        <v>323</v>
      </c>
      <c r="E219" t="s">
        <v>338</v>
      </c>
      <c r="F219" s="2" t="str">
        <f>IFERROR(_xlfn.XLOOKUP(B219,ABST!B:B,ABST!C:C,,0),"-")</f>
        <v>-</v>
      </c>
      <c r="G219" t="str">
        <f>_xlfn.XLOOKUP(E219,CD_EQUIPES!A:A,CD_EQUIPES!B:B,,0)</f>
        <v>NOITE</v>
      </c>
      <c r="H219">
        <f>_xlfn.XLOOKUP(TB_ATIVOS[[#This Row],[Chapa]],'8573'!D:D,'8573'!A:A,,0)</f>
        <v>181241</v>
      </c>
    </row>
    <row r="220" spans="1:8" x14ac:dyDescent="0.25">
      <c r="A220">
        <v>8023</v>
      </c>
      <c r="B220" t="s">
        <v>320</v>
      </c>
      <c r="C220" t="str">
        <f>_xlfn.TEXTBEFORE(B220, " ") &amp; " " &amp; _xlfn.TEXTAFTER(B220, " ", -1)</f>
        <v>MARLENE SOUSA</v>
      </c>
      <c r="D220" t="s">
        <v>323</v>
      </c>
      <c r="E220" t="s">
        <v>338</v>
      </c>
      <c r="F220" s="2" t="str">
        <f>IFERROR(_xlfn.XLOOKUP(B220,ABST!B:B,ABST!C:C,,0),"-")</f>
        <v>-</v>
      </c>
      <c r="G220" t="str">
        <f>_xlfn.XLOOKUP(E220,CD_EQUIPES!A:A,CD_EQUIPES!B:B,,0)</f>
        <v>NOITE</v>
      </c>
      <c r="H220">
        <f>_xlfn.XLOOKUP(TB_ATIVOS[[#This Row],[Chapa]],'8573'!D:D,'8573'!A:A,,0)</f>
        <v>181245</v>
      </c>
    </row>
    <row r="221" spans="1:8" x14ac:dyDescent="0.25">
      <c r="A221">
        <v>8030</v>
      </c>
      <c r="B221" t="s">
        <v>304</v>
      </c>
      <c r="C221" t="str">
        <f>_xlfn.TEXTBEFORE(B221, " ") &amp; " " &amp; _xlfn.TEXTAFTER(B221, " ", -1)</f>
        <v>IZAQUE QUEIROZ</v>
      </c>
      <c r="D221" t="s">
        <v>323</v>
      </c>
      <c r="E221" t="s">
        <v>335</v>
      </c>
      <c r="F221" s="2" t="str">
        <f>IFERROR(_xlfn.XLOOKUP(B221,ABST!B:B,ABST!C:C,,0),"-")</f>
        <v>-</v>
      </c>
      <c r="G221" t="str">
        <f>_xlfn.XLOOKUP(E221,CD_EQUIPES!A:A,CD_EQUIPES!B:B,,0)</f>
        <v>NOITE</v>
      </c>
      <c r="H221">
        <f>_xlfn.XLOOKUP(TB_ATIVOS[[#This Row],[Chapa]],'8573'!D:D,'8573'!A:A,,0)</f>
        <v>181249</v>
      </c>
    </row>
    <row r="222" spans="1:8" x14ac:dyDescent="0.25">
      <c r="A222">
        <v>8037</v>
      </c>
      <c r="B222" t="s">
        <v>308</v>
      </c>
      <c r="C222" t="str">
        <f>_xlfn.TEXTBEFORE(B222, " ") &amp; " " &amp; _xlfn.TEXTAFTER(B222, " ", -1)</f>
        <v>AGUINALDO SANTOS</v>
      </c>
      <c r="D222" t="s">
        <v>323</v>
      </c>
      <c r="E222" t="s">
        <v>338</v>
      </c>
      <c r="F222" s="2" t="str">
        <f>IFERROR(_xlfn.XLOOKUP(B222,ABST!B:B,ABST!C:C,,0),"-")</f>
        <v>-</v>
      </c>
      <c r="G222" t="str">
        <f>_xlfn.XLOOKUP(E222,CD_EQUIPES!A:A,CD_EQUIPES!B:B,,0)</f>
        <v>NOITE</v>
      </c>
      <c r="H222">
        <f>_xlfn.XLOOKUP(TB_ATIVOS[[#This Row],[Chapa]],'8573'!D:D,'8573'!A:A,,0)</f>
        <v>181254</v>
      </c>
    </row>
    <row r="223" spans="1:8" x14ac:dyDescent="0.25">
      <c r="A223">
        <v>8034</v>
      </c>
      <c r="B223" t="s">
        <v>315</v>
      </c>
      <c r="C223" t="str">
        <f>_xlfn.TEXTBEFORE(B223, " ") &amp; " " &amp; _xlfn.TEXTAFTER(B223, " ", -1)</f>
        <v>DANIELE MOREIRA</v>
      </c>
      <c r="D223" t="s">
        <v>323</v>
      </c>
      <c r="E223" t="s">
        <v>338</v>
      </c>
      <c r="F223" s="2" t="str">
        <f>IFERROR(_xlfn.XLOOKUP(B223,ABST!B:B,ABST!C:C,,0),"-")</f>
        <v>-</v>
      </c>
      <c r="G223" t="str">
        <f>_xlfn.XLOOKUP(E223,CD_EQUIPES!A:A,CD_EQUIPES!B:B,,0)</f>
        <v>NOITE</v>
      </c>
      <c r="H223">
        <f>_xlfn.XLOOKUP(TB_ATIVOS[[#This Row],[Chapa]],'8573'!D:D,'8573'!A:A,,0)</f>
        <v>181255</v>
      </c>
    </row>
    <row r="224" spans="1:8" x14ac:dyDescent="0.25">
      <c r="A224">
        <v>8053</v>
      </c>
      <c r="B224" t="s">
        <v>300</v>
      </c>
      <c r="C224" t="str">
        <f>_xlfn.TEXTBEFORE(B224, " ") &amp; " " &amp; _xlfn.TEXTAFTER(B224, " ", -1)</f>
        <v>LEONARDO SOUSA</v>
      </c>
      <c r="D224" t="s">
        <v>323</v>
      </c>
      <c r="E224" t="s">
        <v>338</v>
      </c>
      <c r="F224" s="2" t="str">
        <f>IFERROR(_xlfn.XLOOKUP(B224,ABST!B:B,ABST!C:C,,0),"-")</f>
        <v>-</v>
      </c>
      <c r="G224" t="str">
        <f>_xlfn.XLOOKUP(E224,CD_EQUIPES!A:A,CD_EQUIPES!B:B,,0)</f>
        <v>NOITE</v>
      </c>
      <c r="H224">
        <f>_xlfn.XLOOKUP(TB_ATIVOS[[#This Row],[Chapa]],'8573'!D:D,'8573'!A:A,,0)</f>
        <v>181267</v>
      </c>
    </row>
    <row r="225" spans="1:8" x14ac:dyDescent="0.25">
      <c r="A225">
        <v>8052</v>
      </c>
      <c r="B225" t="s">
        <v>322</v>
      </c>
      <c r="C225" t="str">
        <f>_xlfn.TEXTBEFORE(B225, " ") &amp; " " &amp; _xlfn.TEXTAFTER(B225, " ", -1)</f>
        <v>PEDRO SILVA</v>
      </c>
      <c r="D225" t="s">
        <v>323</v>
      </c>
      <c r="E225" t="s">
        <v>335</v>
      </c>
      <c r="F225" s="2" t="str">
        <f>IFERROR(_xlfn.XLOOKUP(B225,ABST!B:B,ABST!C:C,,0),"-")</f>
        <v>-</v>
      </c>
      <c r="G225" t="str">
        <f>_xlfn.XLOOKUP(E225,CD_EQUIPES!A:A,CD_EQUIPES!B:B,,0)</f>
        <v>NOITE</v>
      </c>
      <c r="H225">
        <f>_xlfn.XLOOKUP(TB_ATIVOS[[#This Row],[Chapa]],'8573'!D:D,'8573'!A:A,,0)</f>
        <v>181268</v>
      </c>
    </row>
    <row r="226" spans="1:8" x14ac:dyDescent="0.25">
      <c r="A226">
        <v>6403</v>
      </c>
      <c r="B226" t="s">
        <v>99</v>
      </c>
      <c r="C226" t="str">
        <f>_xlfn.TEXTBEFORE(B226, " ") &amp; " " &amp; _xlfn.TEXTAFTER(B226, " ", -1)</f>
        <v>JOSE NEGREIRO</v>
      </c>
      <c r="D226" t="s">
        <v>358</v>
      </c>
      <c r="E226" t="s">
        <v>347</v>
      </c>
      <c r="F226" s="2" t="str">
        <f>IFERROR(_xlfn.XLOOKUP(B226,ABST!B:B,ABST!C:C,,0),"-")</f>
        <v>EMPILHADOR</v>
      </c>
      <c r="G226" t="str">
        <f>_xlfn.XLOOKUP(E226,CD_EQUIPES!A:A,CD_EQUIPES!B:B,,0)</f>
        <v>DIA</v>
      </c>
      <c r="H226">
        <f>_xlfn.XLOOKUP(TB_ATIVOS[[#This Row],[Chapa]],'8573'!D:D,'8573'!A:A,,0)</f>
        <v>180033</v>
      </c>
    </row>
    <row r="227" spans="1:8" x14ac:dyDescent="0.25">
      <c r="A227">
        <v>7080</v>
      </c>
      <c r="B227" t="s">
        <v>171</v>
      </c>
      <c r="C227" t="str">
        <f>_xlfn.TEXTBEFORE(B227, " ") &amp; " " &amp; _xlfn.TEXTAFTER(B227, " ", -1)</f>
        <v>VALMIR FILHO</v>
      </c>
      <c r="D227" t="s">
        <v>358</v>
      </c>
      <c r="E227" t="s">
        <v>347</v>
      </c>
      <c r="F227" s="2" t="str">
        <f>IFERROR(_xlfn.XLOOKUP(B227,ABST!B:B,ABST!C:C,,0),"-")</f>
        <v>EMPILHADOR</v>
      </c>
      <c r="G227" t="str">
        <f>_xlfn.XLOOKUP(E227,CD_EQUIPES!A:A,CD_EQUIPES!B:B,,0)</f>
        <v>DIA</v>
      </c>
      <c r="H227">
        <f>_xlfn.XLOOKUP(TB_ATIVOS[[#This Row],[Chapa]],'8573'!D:D,'8573'!A:A,,0)</f>
        <v>180774</v>
      </c>
    </row>
    <row r="228" spans="1:8" x14ac:dyDescent="0.25">
      <c r="A228">
        <v>7345</v>
      </c>
      <c r="B228" t="s">
        <v>151</v>
      </c>
      <c r="C228" t="str">
        <f>_xlfn.TEXTBEFORE(B228, " ") &amp; " " &amp; _xlfn.TEXTAFTER(B228, " ", -1)</f>
        <v>RAIMUNDO BRITO</v>
      </c>
      <c r="D228" t="s">
        <v>362</v>
      </c>
      <c r="E228" t="s">
        <v>347</v>
      </c>
      <c r="F228" s="2" t="str">
        <f>IFERROR(_xlfn.XLOOKUP(B228,ABST!B:B,ABST!C:C,,0),"-")</f>
        <v>-</v>
      </c>
      <c r="G228" t="str">
        <f>_xlfn.XLOOKUP(E228,CD_EQUIPES!A:A,CD_EQUIPES!B:B,,0)</f>
        <v>DIA</v>
      </c>
      <c r="H228">
        <f>_xlfn.XLOOKUP(TB_ATIVOS[[#This Row],[Chapa]],'8573'!D:D,'8573'!A:A,,0)</f>
        <v>180897</v>
      </c>
    </row>
    <row r="229" spans="1:8" x14ac:dyDescent="0.25">
      <c r="A229">
        <v>6040</v>
      </c>
      <c r="B229" t="s">
        <v>104</v>
      </c>
      <c r="C229" t="str">
        <f>_xlfn.TEXTBEFORE(B229, " ") &amp; " " &amp; _xlfn.TEXTAFTER(B229, " ", -1)</f>
        <v>JUCIVAN OLIVEIRA</v>
      </c>
      <c r="D229" t="s">
        <v>333</v>
      </c>
      <c r="E229" t="s">
        <v>347</v>
      </c>
      <c r="F229" s="2" t="str">
        <f>IFERROR(_xlfn.XLOOKUP(B229,ABST!B:B,ABST!C:C,,0),"-")</f>
        <v>EMPILHADOR</v>
      </c>
      <c r="G229" t="str">
        <f>_xlfn.XLOOKUP(E229,CD_EQUIPES!A:A,CD_EQUIPES!B:B,,0)</f>
        <v>DIA</v>
      </c>
      <c r="H229">
        <f>_xlfn.XLOOKUP(TB_ATIVOS[[#This Row],[Chapa]],'8573'!D:D,'8573'!A:A,,0)</f>
        <v>122626</v>
      </c>
    </row>
    <row r="230" spans="1:8" x14ac:dyDescent="0.25">
      <c r="A230">
        <v>7084</v>
      </c>
      <c r="B230" t="s">
        <v>0</v>
      </c>
      <c r="C230" t="str">
        <f>_xlfn.TEXTBEFORE(B230, " ") &amp; " " &amp; _xlfn.TEXTAFTER(B230, " ", -1)</f>
        <v>ADAEL PAIVA</v>
      </c>
      <c r="D230" t="s">
        <v>333</v>
      </c>
      <c r="E230" t="s">
        <v>334</v>
      </c>
      <c r="F230" s="2" t="str">
        <f>IFERROR(_xlfn.XLOOKUP(B230,ABST!B:B,ABST!C:C,,0),"-")</f>
        <v>EMPILHADOR</v>
      </c>
      <c r="G230" t="str">
        <f>_xlfn.XLOOKUP(E230,CD_EQUIPES!A:A,CD_EQUIPES!B:B,,0)</f>
        <v>NOITE</v>
      </c>
      <c r="H230">
        <f>_xlfn.XLOOKUP(TB_ATIVOS[[#This Row],[Chapa]],'8573'!D:D,'8573'!A:A,,0)</f>
        <v>180775</v>
      </c>
    </row>
    <row r="231" spans="1:8" x14ac:dyDescent="0.25">
      <c r="A231">
        <v>106</v>
      </c>
      <c r="B231" t="s">
        <v>48</v>
      </c>
      <c r="C231" t="str">
        <f>_xlfn.TEXTBEFORE(B231, " ") &amp; " " &amp; _xlfn.TEXTAFTER(B231, " ", -1)</f>
        <v>ELIEL MORAES</v>
      </c>
      <c r="D231" t="s">
        <v>346</v>
      </c>
      <c r="E231" t="s">
        <v>347</v>
      </c>
      <c r="F231" s="2" t="str">
        <f>IFERROR(_xlfn.XLOOKUP(B231,ABST!B:B,ABST!C:C,,0),"-")</f>
        <v>EMPILHADOR</v>
      </c>
      <c r="G231" t="str">
        <f>_xlfn.XLOOKUP(E231,CD_EQUIPES!A:A,CD_EQUIPES!B:B,,0)</f>
        <v>DIA</v>
      </c>
      <c r="H231">
        <f>_xlfn.XLOOKUP(TB_ATIVOS[[#This Row],[Chapa]],'8573'!D:D,'8573'!A:A,,0)</f>
        <v>1224</v>
      </c>
    </row>
    <row r="232" spans="1:8" x14ac:dyDescent="0.25">
      <c r="A232">
        <v>926</v>
      </c>
      <c r="B232" t="s">
        <v>134</v>
      </c>
      <c r="C232" t="str">
        <f>_xlfn.TEXTBEFORE(B232, " ") &amp; " " &amp; _xlfn.TEXTAFTER(B232, " ", -1)</f>
        <v>MARCIEL SILVA</v>
      </c>
      <c r="D232" t="s">
        <v>346</v>
      </c>
      <c r="E232" t="s">
        <v>347</v>
      </c>
      <c r="F232" s="2" t="str">
        <f>IFERROR(_xlfn.XLOOKUP(B232,ABST!B:B,ABST!C:C,,0),"-")</f>
        <v>EMPILHADOR</v>
      </c>
      <c r="G232" t="str">
        <f>_xlfn.XLOOKUP(E232,CD_EQUIPES!A:A,CD_EQUIPES!B:B,,0)</f>
        <v>DIA</v>
      </c>
      <c r="H232">
        <f>_xlfn.XLOOKUP(TB_ATIVOS[[#This Row],[Chapa]],'8573'!D:D,'8573'!A:A,,0)</f>
        <v>36723</v>
      </c>
    </row>
    <row r="233" spans="1:8" x14ac:dyDescent="0.25">
      <c r="A233">
        <v>1967</v>
      </c>
      <c r="B233" t="s">
        <v>65</v>
      </c>
      <c r="C233" t="str">
        <f>_xlfn.TEXTBEFORE(B233, " ") &amp; " " &amp; _xlfn.TEXTAFTER(B233, " ", -1)</f>
        <v>FRANCISCO SOUSA</v>
      </c>
      <c r="D233" t="s">
        <v>346</v>
      </c>
      <c r="E233" t="s">
        <v>347</v>
      </c>
      <c r="F233" s="2" t="str">
        <f>IFERROR(_xlfn.XLOOKUP(B233,ABST!B:B,ABST!C:C,,0),"-")</f>
        <v>EMPILHADOR</v>
      </c>
      <c r="G233" t="str">
        <f>_xlfn.XLOOKUP(E233,CD_EQUIPES!A:A,CD_EQUIPES!B:B,,0)</f>
        <v>DIA</v>
      </c>
      <c r="H233">
        <f>_xlfn.XLOOKUP(TB_ATIVOS[[#This Row],[Chapa]],'8573'!D:D,'8573'!A:A,,0)</f>
        <v>70015</v>
      </c>
    </row>
    <row r="234" spans="1:8" x14ac:dyDescent="0.25">
      <c r="A234">
        <v>5014</v>
      </c>
      <c r="B234" t="s">
        <v>19</v>
      </c>
      <c r="C234" t="str">
        <f>_xlfn.TEXTBEFORE(B234, " ") &amp; " " &amp; _xlfn.TEXTAFTER(B234, " ", -1)</f>
        <v>BRUNO CARNEIRO</v>
      </c>
      <c r="D234" t="s">
        <v>346</v>
      </c>
      <c r="E234" t="s">
        <v>347</v>
      </c>
      <c r="F234" s="2" t="str">
        <f>IFERROR(_xlfn.XLOOKUP(B234,ABST!B:B,ABST!C:C,,0),"-")</f>
        <v>EMPILHADOR</v>
      </c>
      <c r="G234" t="str">
        <f>_xlfn.XLOOKUP(E234,CD_EQUIPES!A:A,CD_EQUIPES!B:B,,0)</f>
        <v>DIA</v>
      </c>
      <c r="H234">
        <f>_xlfn.XLOOKUP(TB_ATIVOS[[#This Row],[Chapa]],'8573'!D:D,'8573'!A:A,,0)</f>
        <v>122268</v>
      </c>
    </row>
    <row r="235" spans="1:8" x14ac:dyDescent="0.25">
      <c r="A235">
        <v>5950</v>
      </c>
      <c r="B235" t="s">
        <v>78</v>
      </c>
      <c r="C235" t="str">
        <f>_xlfn.TEXTBEFORE(B235, " ") &amp; " " &amp; _xlfn.TEXTAFTER(B235, " ", -1)</f>
        <v>IGOR OLIVEIRA</v>
      </c>
      <c r="D235" t="s">
        <v>346</v>
      </c>
      <c r="E235" t="s">
        <v>347</v>
      </c>
      <c r="F235" s="2" t="str">
        <f>IFERROR(_xlfn.XLOOKUP(B235,ABST!B:B,ABST!C:C,,0),"-")</f>
        <v>EMPILHADOR</v>
      </c>
      <c r="G235" t="str">
        <f>_xlfn.XLOOKUP(E235,CD_EQUIPES!A:A,CD_EQUIPES!B:B,,0)</f>
        <v>DIA</v>
      </c>
      <c r="H235">
        <f>_xlfn.XLOOKUP(TB_ATIVOS[[#This Row],[Chapa]],'8573'!D:D,'8573'!A:A,,0)</f>
        <v>122592</v>
      </c>
    </row>
    <row r="236" spans="1:8" x14ac:dyDescent="0.25">
      <c r="A236">
        <v>4002</v>
      </c>
      <c r="B236" t="s">
        <v>124</v>
      </c>
      <c r="C236" t="str">
        <f>_xlfn.TEXTBEFORE(B236, " ") &amp; " " &amp; _xlfn.TEXTAFTER(B236, " ", -1)</f>
        <v>LUCIANO SILVA</v>
      </c>
      <c r="D236" t="s">
        <v>346</v>
      </c>
      <c r="E236" t="s">
        <v>334</v>
      </c>
      <c r="F236" s="2" t="str">
        <f>IFERROR(_xlfn.XLOOKUP(B236,ABST!B:B,ABST!C:C,,0),"-")</f>
        <v>EMPILHADOR</v>
      </c>
      <c r="G236" t="str">
        <f>_xlfn.XLOOKUP(E236,CD_EQUIPES!A:A,CD_EQUIPES!B:B,,0)</f>
        <v>NOITE</v>
      </c>
      <c r="H236">
        <f>_xlfn.XLOOKUP(TB_ATIVOS[[#This Row],[Chapa]],'8573'!D:D,'8573'!A:A,,0)</f>
        <v>100873</v>
      </c>
    </row>
    <row r="237" spans="1:8" x14ac:dyDescent="0.25">
      <c r="A237">
        <v>4623</v>
      </c>
      <c r="B237" t="s">
        <v>107</v>
      </c>
      <c r="C237" t="str">
        <f>_xlfn.TEXTBEFORE(B237, " ") &amp; " " &amp; _xlfn.TEXTAFTER(B237, " ", -1)</f>
        <v>KASSIO SILVA</v>
      </c>
      <c r="D237" t="s">
        <v>346</v>
      </c>
      <c r="E237" t="s">
        <v>334</v>
      </c>
      <c r="F237" s="2" t="str">
        <f>IFERROR(_xlfn.XLOOKUP(B237,ABST!B:B,ABST!C:C,,0),"-")</f>
        <v>EMPILHADOR</v>
      </c>
      <c r="G237" t="str">
        <f>_xlfn.XLOOKUP(E237,CD_EQUIPES!A:A,CD_EQUIPES!B:B,,0)</f>
        <v>NOITE</v>
      </c>
      <c r="H237">
        <f>_xlfn.XLOOKUP(TB_ATIVOS[[#This Row],[Chapa]],'8573'!D:D,'8573'!A:A,,0)</f>
        <v>122114</v>
      </c>
    </row>
    <row r="238" spans="1:8" x14ac:dyDescent="0.25">
      <c r="A238">
        <v>5408</v>
      </c>
      <c r="B238" t="s">
        <v>31</v>
      </c>
      <c r="C238" t="str">
        <f>_xlfn.TEXTBEFORE(B238, " ") &amp; " " &amp; _xlfn.TEXTAFTER(B238, " ", -1)</f>
        <v>CEZAR SOUZA</v>
      </c>
      <c r="D238" t="s">
        <v>346</v>
      </c>
      <c r="E238" t="s">
        <v>334</v>
      </c>
      <c r="F238" s="2" t="str">
        <f>IFERROR(_xlfn.XLOOKUP(B238,ABST!B:B,ABST!C:C,,0),"-")</f>
        <v>EMPILHADOR</v>
      </c>
      <c r="G238" t="str">
        <f>_xlfn.XLOOKUP(E238,CD_EQUIPES!A:A,CD_EQUIPES!B:B,,0)</f>
        <v>NOITE</v>
      </c>
      <c r="H238">
        <f>_xlfn.XLOOKUP(TB_ATIVOS[[#This Row],[Chapa]],'8573'!D:D,'8573'!A:A,,0)</f>
        <v>122407</v>
      </c>
    </row>
    <row r="239" spans="1:8" x14ac:dyDescent="0.25">
      <c r="A239">
        <v>5937</v>
      </c>
      <c r="B239" t="s">
        <v>71</v>
      </c>
      <c r="C239" t="str">
        <f>_xlfn.TEXTBEFORE(B239, " ") &amp; " " &amp; _xlfn.TEXTAFTER(B239, " ", -1)</f>
        <v>GABRIEL OLIVEIRA</v>
      </c>
      <c r="D239" t="s">
        <v>346</v>
      </c>
      <c r="E239" t="s">
        <v>334</v>
      </c>
      <c r="F239" s="2" t="str">
        <f>IFERROR(_xlfn.XLOOKUP(B239,ABST!B:B,ABST!C:C,,0),"-")</f>
        <v>EMPILHADOR</v>
      </c>
      <c r="G239" t="str">
        <f>_xlfn.XLOOKUP(E239,CD_EQUIPES!A:A,CD_EQUIPES!B:B,,0)</f>
        <v>NOITE</v>
      </c>
      <c r="H239">
        <f>_xlfn.XLOOKUP(TB_ATIVOS[[#This Row],[Chapa]],'8573'!D:D,'8573'!A:A,,0)</f>
        <v>122586</v>
      </c>
    </row>
    <row r="240" spans="1:8" x14ac:dyDescent="0.25">
      <c r="A240">
        <v>6029</v>
      </c>
      <c r="B240" t="s">
        <v>76</v>
      </c>
      <c r="C240" t="str">
        <f>_xlfn.TEXTBEFORE(B240, " ") &amp; " " &amp; _xlfn.TEXTAFTER(B240, " ", -1)</f>
        <v>GLEISON SANTOS</v>
      </c>
      <c r="D240" t="s">
        <v>346</v>
      </c>
      <c r="E240" t="s">
        <v>334</v>
      </c>
      <c r="F240" s="2" t="str">
        <f>IFERROR(_xlfn.XLOOKUP(B240,ABST!B:B,ABST!C:C,,0),"-")</f>
        <v>EMPILHADOR</v>
      </c>
      <c r="G240" t="str">
        <f>_xlfn.XLOOKUP(E240,CD_EQUIPES!A:A,CD_EQUIPES!B:B,,0)</f>
        <v>NOITE</v>
      </c>
      <c r="H240">
        <f>_xlfn.XLOOKUP(TB_ATIVOS[[#This Row],[Chapa]],'8573'!D:D,'8573'!A:A,,0)</f>
        <v>122621</v>
      </c>
    </row>
    <row r="241" spans="1:8" x14ac:dyDescent="0.25">
      <c r="A241">
        <v>4562</v>
      </c>
      <c r="B241" t="s">
        <v>30</v>
      </c>
      <c r="C241" t="str">
        <f>_xlfn.TEXTBEFORE(B241, " ") &amp; " " &amp; _xlfn.TEXTAFTER(B241, " ", -1)</f>
        <v>CARLOS NASCIMENTO</v>
      </c>
      <c r="D241" t="s">
        <v>351</v>
      </c>
      <c r="E241" t="s">
        <v>341</v>
      </c>
      <c r="F241" s="2" t="str">
        <f>IFERROR(_xlfn.XLOOKUP(B241,ABST!B:B,ABST!C:C,,0),"-")</f>
        <v>RECEBIMENTO</v>
      </c>
      <c r="G241" t="str">
        <f>_xlfn.XLOOKUP(E241,CD_EQUIPES!A:A,CD_EQUIPES!B:B,,0)</f>
        <v>DIA</v>
      </c>
      <c r="H241">
        <f>_xlfn.XLOOKUP(TB_ATIVOS[[#This Row],[Chapa]],'8573'!D:D,'8573'!A:A,,0)</f>
        <v>101124</v>
      </c>
    </row>
    <row r="242" spans="1:8" x14ac:dyDescent="0.25">
      <c r="A242">
        <v>6206</v>
      </c>
      <c r="B242" t="s">
        <v>324</v>
      </c>
      <c r="C242" t="str">
        <f>_xlfn.TEXTBEFORE(B242, " ") &amp; " " &amp; _xlfn.TEXTAFTER(B242, " ", -1)</f>
        <v>FABIANO OLIVEIRA</v>
      </c>
      <c r="D242" t="s">
        <v>351</v>
      </c>
      <c r="E242" t="s">
        <v>341</v>
      </c>
      <c r="F242" s="2" t="str">
        <f>IFERROR(_xlfn.XLOOKUP(B242,ABST!B:B,ABST!C:C,,0),"-")</f>
        <v>RECEBIMENTO</v>
      </c>
      <c r="G242" t="str">
        <f>_xlfn.XLOOKUP(E242,CD_EQUIPES!A:A,CD_EQUIPES!B:B,,0)</f>
        <v>DIA</v>
      </c>
      <c r="H242">
        <f>_xlfn.XLOOKUP(TB_ATIVOS[[#This Row],[Chapa]],'8573'!D:D,'8573'!A:A,,0)</f>
        <v>122692</v>
      </c>
    </row>
    <row r="243" spans="1:8" x14ac:dyDescent="0.25">
      <c r="A243">
        <v>6326</v>
      </c>
      <c r="B243" t="s">
        <v>360</v>
      </c>
      <c r="C243" t="str">
        <f>_xlfn.TEXTBEFORE(B243, " ") &amp; " " &amp; _xlfn.TEXTAFTER(B243, " ", -1)</f>
        <v>MARCIO SILVA</v>
      </c>
      <c r="D243" t="s">
        <v>351</v>
      </c>
      <c r="E243" t="s">
        <v>336</v>
      </c>
      <c r="F243" s="2" t="str">
        <f>IFERROR(_xlfn.XLOOKUP(B243,ABST!B:B,ABST!C:C,,0),"-")</f>
        <v>-</v>
      </c>
      <c r="G243" t="str">
        <f>_xlfn.XLOOKUP(E243,CD_EQUIPES!A:A,CD_EQUIPES!B:B,,0)</f>
        <v>DIA</v>
      </c>
      <c r="H243">
        <f>_xlfn.XLOOKUP(TB_ATIVOS[[#This Row],[Chapa]],'8573'!D:D,'8573'!A:A,,0)</f>
        <v>150027</v>
      </c>
    </row>
    <row r="244" spans="1:8" x14ac:dyDescent="0.25">
      <c r="A244">
        <v>6514</v>
      </c>
      <c r="B244" t="s">
        <v>128</v>
      </c>
      <c r="C244" t="str">
        <f>_xlfn.TEXTBEFORE(B244, " ") &amp; " " &amp; _xlfn.TEXTAFTER(B244, " ", -1)</f>
        <v>MAIKON COSTA</v>
      </c>
      <c r="D244" t="s">
        <v>351</v>
      </c>
      <c r="E244" t="s">
        <v>336</v>
      </c>
      <c r="F244" s="2" t="str">
        <f>IFERROR(_xlfn.XLOOKUP(B244,ABST!B:B,ABST!C:C,,0),"-")</f>
        <v>-</v>
      </c>
      <c r="G244" t="str">
        <f>_xlfn.XLOOKUP(E244,CD_EQUIPES!A:A,CD_EQUIPES!B:B,,0)</f>
        <v>DIA</v>
      </c>
      <c r="H244">
        <f>_xlfn.XLOOKUP(TB_ATIVOS[[#This Row],[Chapa]],'8573'!D:D,'8573'!A:A,,0)</f>
        <v>180082</v>
      </c>
    </row>
    <row r="245" spans="1:8" x14ac:dyDescent="0.25">
      <c r="A245">
        <v>6555</v>
      </c>
      <c r="B245" t="s">
        <v>98</v>
      </c>
      <c r="C245" t="str">
        <f>_xlfn.TEXTBEFORE(B245, " ") &amp; " " &amp; _xlfn.TEXTAFTER(B245, " ", -1)</f>
        <v>JOSE MEDEIROS</v>
      </c>
      <c r="D245" t="s">
        <v>351</v>
      </c>
      <c r="E245" t="s">
        <v>341</v>
      </c>
      <c r="F245" s="2" t="str">
        <f>IFERROR(_xlfn.XLOOKUP(B245,ABST!B:B,ABST!C:C,,0),"-")</f>
        <v>RECEBIMENTO</v>
      </c>
      <c r="G245" t="str">
        <f>_xlfn.XLOOKUP(E245,CD_EQUIPES!A:A,CD_EQUIPES!B:B,,0)</f>
        <v>DIA</v>
      </c>
      <c r="H245">
        <f>_xlfn.XLOOKUP(TB_ATIVOS[[#This Row],[Chapa]],'8573'!D:D,'8573'!A:A,,0)</f>
        <v>180110</v>
      </c>
    </row>
    <row r="246" spans="1:8" x14ac:dyDescent="0.25">
      <c r="A246">
        <v>6603</v>
      </c>
      <c r="B246" t="s">
        <v>110</v>
      </c>
      <c r="C246" t="str">
        <f>_xlfn.TEXTBEFORE(B246, " ") &amp; " " &amp; _xlfn.TEXTAFTER(B246, " ", -1)</f>
        <v>KLEBSON CARVALHO</v>
      </c>
      <c r="D246" t="s">
        <v>351</v>
      </c>
      <c r="E246" t="s">
        <v>336</v>
      </c>
      <c r="F246" s="2" t="str">
        <f>IFERROR(_xlfn.XLOOKUP(B246,ABST!B:B,ABST!C:C,,0),"-")</f>
        <v>-</v>
      </c>
      <c r="G246" t="str">
        <f>_xlfn.XLOOKUP(E246,CD_EQUIPES!A:A,CD_EQUIPES!B:B,,0)</f>
        <v>DIA</v>
      </c>
      <c r="H246">
        <f>_xlfn.XLOOKUP(TB_ATIVOS[[#This Row],[Chapa]],'8573'!D:D,'8573'!A:A,,0)</f>
        <v>180123</v>
      </c>
    </row>
    <row r="247" spans="1:8" x14ac:dyDescent="0.25">
      <c r="A247">
        <v>6643</v>
      </c>
      <c r="B247" t="s">
        <v>34</v>
      </c>
      <c r="C247" t="str">
        <f>_xlfn.TEXTBEFORE(B247, " ") &amp; " " &amp; _xlfn.TEXTAFTER(B247, " ", -1)</f>
        <v>CLEBER SILVA</v>
      </c>
      <c r="D247" t="s">
        <v>351</v>
      </c>
      <c r="E247" t="s">
        <v>341</v>
      </c>
      <c r="F247" s="2" t="str">
        <f>IFERROR(_xlfn.XLOOKUP(B247,ABST!B:B,ABST!C:C,,0),"-")</f>
        <v>-</v>
      </c>
      <c r="G247" t="str">
        <f>_xlfn.XLOOKUP(E247,CD_EQUIPES!A:A,CD_EQUIPES!B:B,,0)</f>
        <v>DIA</v>
      </c>
      <c r="H247">
        <f>_xlfn.XLOOKUP(TB_ATIVOS[[#This Row],[Chapa]],'8573'!D:D,'8573'!A:A,,0)</f>
        <v>180143</v>
      </c>
    </row>
    <row r="248" spans="1:8" x14ac:dyDescent="0.25">
      <c r="A248">
        <v>6942</v>
      </c>
      <c r="B248" t="s">
        <v>174</v>
      </c>
      <c r="C248" t="str">
        <f>_xlfn.TEXTBEFORE(B248, " ") &amp; " " &amp; _xlfn.TEXTAFTER(B248, " ", -1)</f>
        <v>VILTERLENE CUTRIM</v>
      </c>
      <c r="D248" t="s">
        <v>351</v>
      </c>
      <c r="E248" t="s">
        <v>336</v>
      </c>
      <c r="F248" s="2" t="str">
        <f>IFERROR(_xlfn.XLOOKUP(B248,ABST!B:B,ABST!C:C,,0),"-")</f>
        <v>-</v>
      </c>
      <c r="G248" t="str">
        <f>_xlfn.XLOOKUP(E248,CD_EQUIPES!A:A,CD_EQUIPES!B:B,,0)</f>
        <v>DIA</v>
      </c>
      <c r="H248">
        <f>_xlfn.XLOOKUP(TB_ATIVOS[[#This Row],[Chapa]],'8573'!D:D,'8573'!A:A,,0)</f>
        <v>180693</v>
      </c>
    </row>
    <row r="249" spans="1:8" x14ac:dyDescent="0.25">
      <c r="A249">
        <v>6963</v>
      </c>
      <c r="B249" t="s">
        <v>90</v>
      </c>
      <c r="C249" t="str">
        <f>_xlfn.TEXTBEFORE(B249, " ") &amp; " " &amp; _xlfn.TEXTAFTER(B249, " ", -1)</f>
        <v>JOAO MONTEIRO</v>
      </c>
      <c r="D249" t="s">
        <v>351</v>
      </c>
      <c r="E249" t="s">
        <v>341</v>
      </c>
      <c r="F249" s="2" t="str">
        <f>IFERROR(_xlfn.XLOOKUP(B249,ABST!B:B,ABST!C:C,,0),"-")</f>
        <v>RECEBIMENTO</v>
      </c>
      <c r="G249" t="str">
        <f>_xlfn.XLOOKUP(E249,CD_EQUIPES!A:A,CD_EQUIPES!B:B,,0)</f>
        <v>DIA</v>
      </c>
      <c r="H249">
        <f>_xlfn.XLOOKUP(TB_ATIVOS[[#This Row],[Chapa]],'8573'!D:D,'8573'!A:A,,0)</f>
        <v>180698</v>
      </c>
    </row>
    <row r="250" spans="1:8" x14ac:dyDescent="0.25">
      <c r="A250">
        <v>6975</v>
      </c>
      <c r="B250" t="s">
        <v>44</v>
      </c>
      <c r="C250" t="str">
        <f>_xlfn.TEXTBEFORE(B250, " ") &amp; " " &amp; _xlfn.TEXTAFTER(B250, " ", -1)</f>
        <v>EDMUNDO OLIVEIRA</v>
      </c>
      <c r="D250" t="s">
        <v>351</v>
      </c>
      <c r="E250" t="s">
        <v>336</v>
      </c>
      <c r="F250" s="2" t="str">
        <f>IFERROR(_xlfn.XLOOKUP(B250,ABST!B:B,ABST!C:C,,0),"-")</f>
        <v>-</v>
      </c>
      <c r="G250" t="str">
        <f>_xlfn.XLOOKUP(E250,CD_EQUIPES!A:A,CD_EQUIPES!B:B,,0)</f>
        <v>DIA</v>
      </c>
      <c r="H250">
        <f>_xlfn.XLOOKUP(TB_ATIVOS[[#This Row],[Chapa]],'8573'!D:D,'8573'!A:A,,0)</f>
        <v>180828</v>
      </c>
    </row>
    <row r="251" spans="1:8" x14ac:dyDescent="0.25">
      <c r="A251">
        <v>7428</v>
      </c>
      <c r="B251" t="s">
        <v>160</v>
      </c>
      <c r="C251" t="str">
        <f>_xlfn.TEXTBEFORE(B251, " ") &amp; " " &amp; _xlfn.TEXTAFTER(B251, " ", -1)</f>
        <v>SEBASTIAO OLIVEIRA</v>
      </c>
      <c r="D251" t="s">
        <v>351</v>
      </c>
      <c r="E251" t="s">
        <v>336</v>
      </c>
      <c r="F251" s="2" t="str">
        <f>IFERROR(_xlfn.XLOOKUP(B251,ABST!B:B,ABST!C:C,,0),"-")</f>
        <v>-</v>
      </c>
      <c r="G251" t="str">
        <f>_xlfn.XLOOKUP(E251,CD_EQUIPES!A:A,CD_EQUIPES!B:B,,0)</f>
        <v>DIA</v>
      </c>
      <c r="H251">
        <f>_xlfn.XLOOKUP(TB_ATIVOS[[#This Row],[Chapa]],'8573'!D:D,'8573'!A:A,,0)</f>
        <v>180926</v>
      </c>
    </row>
    <row r="252" spans="1:8" x14ac:dyDescent="0.25">
      <c r="A252">
        <v>2652</v>
      </c>
      <c r="B252" t="s">
        <v>155</v>
      </c>
      <c r="C252" t="str">
        <f>_xlfn.TEXTBEFORE(B252, " ") &amp; " " &amp; _xlfn.TEXTAFTER(B252, " ", -1)</f>
        <v>RENIVAN ANDRADE</v>
      </c>
      <c r="D252" t="s">
        <v>351</v>
      </c>
      <c r="E252" t="s">
        <v>334</v>
      </c>
      <c r="F252" s="2" t="str">
        <f>IFERROR(_xlfn.XLOOKUP(B252,ABST!B:B,ABST!C:C,,0),"-")</f>
        <v>-</v>
      </c>
      <c r="G252" t="str">
        <f>_xlfn.XLOOKUP(E252,CD_EQUIPES!A:A,CD_EQUIPES!B:B,,0)</f>
        <v>NOITE</v>
      </c>
      <c r="H252">
        <f>_xlfn.XLOOKUP(TB_ATIVOS[[#This Row],[Chapa]],'8573'!D:D,'8573'!A:A,,0)</f>
        <v>100125</v>
      </c>
    </row>
    <row r="253" spans="1:8" x14ac:dyDescent="0.25">
      <c r="A253">
        <v>3011</v>
      </c>
      <c r="B253" t="s">
        <v>170</v>
      </c>
      <c r="C253" t="str">
        <f>_xlfn.TEXTBEFORE(B253, " ") &amp; " " &amp; _xlfn.TEXTAFTER(B253, " ", -1)</f>
        <v>VALDUIRES SILVA</v>
      </c>
      <c r="D253" t="s">
        <v>351</v>
      </c>
      <c r="E253" t="s">
        <v>335</v>
      </c>
      <c r="F253" s="2" t="str">
        <f>IFERROR(_xlfn.XLOOKUP(B253,ABST!B:B,ABST!C:C,,0),"-")</f>
        <v>-</v>
      </c>
      <c r="G253" t="str">
        <f>_xlfn.XLOOKUP(E253,CD_EQUIPES!A:A,CD_EQUIPES!B:B,,0)</f>
        <v>NOITE</v>
      </c>
      <c r="H253">
        <f>_xlfn.XLOOKUP(TB_ATIVOS[[#This Row],[Chapa]],'8573'!D:D,'8573'!A:A,,0)</f>
        <v>100360</v>
      </c>
    </row>
    <row r="254" spans="1:8" x14ac:dyDescent="0.25">
      <c r="A254">
        <v>6239</v>
      </c>
      <c r="B254" t="s">
        <v>181</v>
      </c>
      <c r="C254" t="str">
        <f>_xlfn.TEXTBEFORE(B254, " ") &amp; " " &amp; _xlfn.TEXTAFTER(B254, " ", -1)</f>
        <v>WUILLIAMS REQUENA</v>
      </c>
      <c r="D254" t="s">
        <v>351</v>
      </c>
      <c r="E254" t="s">
        <v>335</v>
      </c>
      <c r="F254" s="2" t="str">
        <f>IFERROR(_xlfn.XLOOKUP(B254,ABST!B:B,ABST!C:C,,0),"-")</f>
        <v>ABASTECEDOR</v>
      </c>
      <c r="G254" t="str">
        <f>_xlfn.XLOOKUP(E254,CD_EQUIPES!A:A,CD_EQUIPES!B:B,,0)</f>
        <v>NOITE</v>
      </c>
      <c r="H254">
        <f>_xlfn.XLOOKUP(TB_ATIVOS[[#This Row],[Chapa]],'8573'!D:D,'8573'!A:A,,0)</f>
        <v>122702</v>
      </c>
    </row>
    <row r="255" spans="1:8" x14ac:dyDescent="0.25">
      <c r="A255">
        <v>6667</v>
      </c>
      <c r="B255" t="s">
        <v>58</v>
      </c>
      <c r="C255" t="str">
        <f>_xlfn.TEXTBEFORE(B255, " ") &amp; " " &amp; _xlfn.TEXTAFTER(B255, " ", -1)</f>
        <v>FELIPE CAMPOS</v>
      </c>
      <c r="D255" t="s">
        <v>351</v>
      </c>
      <c r="E255" t="s">
        <v>335</v>
      </c>
      <c r="F255" s="2" t="str">
        <f>IFERROR(_xlfn.XLOOKUP(B255,ABST!B:B,ABST!C:C,,0),"-")</f>
        <v>-</v>
      </c>
      <c r="G255" t="str">
        <f>_xlfn.XLOOKUP(E255,CD_EQUIPES!A:A,CD_EQUIPES!B:B,,0)</f>
        <v>NOITE</v>
      </c>
      <c r="H255">
        <f>_xlfn.XLOOKUP(TB_ATIVOS[[#This Row],[Chapa]],'8573'!D:D,'8573'!A:A,,0)</f>
        <v>180154</v>
      </c>
    </row>
    <row r="256" spans="1:8" x14ac:dyDescent="0.25">
      <c r="A256">
        <v>6972</v>
      </c>
      <c r="B256" t="s">
        <v>130</v>
      </c>
      <c r="C256" t="str">
        <f>_xlfn.TEXTBEFORE(B256, " ") &amp; " " &amp; _xlfn.TEXTAFTER(B256, " ", -1)</f>
        <v>MARCELINO OLIVEIRA</v>
      </c>
      <c r="D256" t="s">
        <v>351</v>
      </c>
      <c r="E256" t="s">
        <v>335</v>
      </c>
      <c r="F256" s="2" t="str">
        <f>IFERROR(_xlfn.XLOOKUP(B256,ABST!B:B,ABST!C:C,,0),"-")</f>
        <v>-</v>
      </c>
      <c r="G256" t="str">
        <f>_xlfn.XLOOKUP(E256,CD_EQUIPES!A:A,CD_EQUIPES!B:B,,0)</f>
        <v>NOITE</v>
      </c>
      <c r="H256">
        <f>_xlfn.XLOOKUP(TB_ATIVOS[[#This Row],[Chapa]],'8573'!D:D,'8573'!A:A,,0)</f>
        <v>180702</v>
      </c>
    </row>
    <row r="257" spans="1:8" x14ac:dyDescent="0.25">
      <c r="A257">
        <v>7057</v>
      </c>
      <c r="B257" t="s">
        <v>125</v>
      </c>
      <c r="C257" t="str">
        <f>_xlfn.TEXTBEFORE(B257, " ") &amp; " " &amp; _xlfn.TEXTAFTER(B257, " ", -1)</f>
        <v>LUIS CASTILLO</v>
      </c>
      <c r="D257" t="s">
        <v>351</v>
      </c>
      <c r="E257" t="s">
        <v>335</v>
      </c>
      <c r="F257" s="2" t="str">
        <f>IFERROR(_xlfn.XLOOKUP(B257,ABST!B:B,ABST!C:C,,0),"-")</f>
        <v>ABASTECEDOR</v>
      </c>
      <c r="G257" t="str">
        <f>_xlfn.XLOOKUP(E257,CD_EQUIPES!A:A,CD_EQUIPES!B:B,,0)</f>
        <v>NOITE</v>
      </c>
      <c r="H257">
        <f>_xlfn.XLOOKUP(TB_ATIVOS[[#This Row],[Chapa]],'8573'!D:D,'8573'!A:A,,0)</f>
        <v>180764</v>
      </c>
    </row>
    <row r="258" spans="1:8" x14ac:dyDescent="0.25">
      <c r="A258">
        <v>7223</v>
      </c>
      <c r="B258" t="s">
        <v>180</v>
      </c>
      <c r="C258" t="str">
        <f>_xlfn.TEXTBEFORE(B258, " ") &amp; " " &amp; _xlfn.TEXTAFTER(B258, " ", -1)</f>
        <v>WILLIAN ALENCAR</v>
      </c>
      <c r="D258" t="s">
        <v>351</v>
      </c>
      <c r="E258" t="s">
        <v>335</v>
      </c>
      <c r="F258" s="2" t="str">
        <f>IFERROR(_xlfn.XLOOKUP(B258,ABST!B:B,ABST!C:C,,0),"-")</f>
        <v>-</v>
      </c>
      <c r="G258" t="str">
        <f>_xlfn.XLOOKUP(E258,CD_EQUIPES!A:A,CD_EQUIPES!B:B,,0)</f>
        <v>NOITE</v>
      </c>
      <c r="H258">
        <f>_xlfn.XLOOKUP(TB_ATIVOS[[#This Row],[Chapa]],'8573'!D:D,'8573'!A:A,,0)</f>
        <v>180838</v>
      </c>
    </row>
    <row r="259" spans="1:8" x14ac:dyDescent="0.25">
      <c r="A259">
        <v>7283</v>
      </c>
      <c r="B259" t="s">
        <v>115</v>
      </c>
      <c r="C259" t="str">
        <f>_xlfn.TEXTBEFORE(B259, " ") &amp; " " &amp; _xlfn.TEXTAFTER(B259, " ", -1)</f>
        <v>LUAN SANTANA</v>
      </c>
      <c r="D259" t="s">
        <v>351</v>
      </c>
      <c r="E259" t="s">
        <v>335</v>
      </c>
      <c r="F259" s="2" t="str">
        <f>IFERROR(_xlfn.XLOOKUP(B259,ABST!B:B,ABST!C:C,,0),"-")</f>
        <v>-</v>
      </c>
      <c r="G259" t="str">
        <f>_xlfn.XLOOKUP(E259,CD_EQUIPES!A:A,CD_EQUIPES!B:B,,0)</f>
        <v>NOITE</v>
      </c>
      <c r="H259">
        <f>_xlfn.XLOOKUP(TB_ATIVOS[[#This Row],[Chapa]],'8573'!D:D,'8573'!A:A,,0)</f>
        <v>180869</v>
      </c>
    </row>
    <row r="260" spans="1:8" x14ac:dyDescent="0.25">
      <c r="A260">
        <v>7538</v>
      </c>
      <c r="B260" t="s">
        <v>84</v>
      </c>
      <c r="C260" t="str">
        <f>_xlfn.TEXTBEFORE(B260, " ") &amp; " " &amp; _xlfn.TEXTAFTER(B260, " ", -1)</f>
        <v>JALISSON SOUSA</v>
      </c>
      <c r="D260" t="s">
        <v>351</v>
      </c>
      <c r="E260" t="s">
        <v>335</v>
      </c>
      <c r="F260" s="2" t="str">
        <f>IFERROR(_xlfn.XLOOKUP(B260,ABST!B:B,ABST!C:C,,0),"-")</f>
        <v>-</v>
      </c>
      <c r="G260" t="str">
        <f>_xlfn.XLOOKUP(E260,CD_EQUIPES!A:A,CD_EQUIPES!B:B,,0)</f>
        <v>NOITE</v>
      </c>
      <c r="H260">
        <f>_xlfn.XLOOKUP(TB_ATIVOS[[#This Row],[Chapa]],'8573'!D:D,'8573'!A:A,,0)</f>
        <v>180959</v>
      </c>
    </row>
    <row r="261" spans="1:8" x14ac:dyDescent="0.25">
      <c r="A261">
        <v>7563</v>
      </c>
      <c r="B261" t="s">
        <v>118</v>
      </c>
      <c r="C261" t="str">
        <f>_xlfn.TEXTBEFORE(B261, " ") &amp; " " &amp; _xlfn.TEXTAFTER(B261, " ", -1)</f>
        <v>LUCAS SILVA</v>
      </c>
      <c r="D261" t="s">
        <v>351</v>
      </c>
      <c r="E261" t="s">
        <v>335</v>
      </c>
      <c r="F261" s="2" t="str">
        <f>IFERROR(_xlfn.XLOOKUP(B261,ABST!B:B,ABST!C:C,,0),"-")</f>
        <v>-</v>
      </c>
      <c r="G261" t="str">
        <f>_xlfn.XLOOKUP(E261,CD_EQUIPES!A:A,CD_EQUIPES!B:B,,0)</f>
        <v>NOITE</v>
      </c>
      <c r="H261">
        <f>_xlfn.XLOOKUP(TB_ATIVOS[[#This Row],[Chapa]],'8573'!D:D,'8573'!A:A,,0)</f>
        <v>180989</v>
      </c>
    </row>
    <row r="262" spans="1:8" x14ac:dyDescent="0.25">
      <c r="A262">
        <v>7598</v>
      </c>
      <c r="B262" t="s">
        <v>141</v>
      </c>
      <c r="C262" t="str">
        <f>_xlfn.TEXTBEFORE(B262, " ") &amp; " " &amp; _xlfn.TEXTAFTER(B262, " ", -1)</f>
        <v>MATHEUS CASTRO</v>
      </c>
      <c r="D262" t="s">
        <v>351</v>
      </c>
      <c r="E262" t="s">
        <v>335</v>
      </c>
      <c r="F262" s="2" t="str">
        <f>IFERROR(_xlfn.XLOOKUP(B262,ABST!B:B,ABST!C:C,,0),"-")</f>
        <v>-</v>
      </c>
      <c r="G262" t="str">
        <f>_xlfn.XLOOKUP(E262,CD_EQUIPES!A:A,CD_EQUIPES!B:B,,0)</f>
        <v>NOITE</v>
      </c>
      <c r="H262">
        <f>_xlfn.XLOOKUP(TB_ATIVOS[[#This Row],[Chapa]],'8573'!D:D,'8573'!A:A,,0)</f>
        <v>181006</v>
      </c>
    </row>
    <row r="263" spans="1:8" x14ac:dyDescent="0.25">
      <c r="A263">
        <v>2394</v>
      </c>
      <c r="B263" t="s">
        <v>91</v>
      </c>
      <c r="C263" t="str">
        <f>_xlfn.TEXTBEFORE(B263, " ") &amp; " " &amp; _xlfn.TEXTAFTER(B263, " ", -1)</f>
        <v>JOAO SANTOS</v>
      </c>
      <c r="D263" t="s">
        <v>325</v>
      </c>
      <c r="E263" t="s">
        <v>341</v>
      </c>
      <c r="F263" s="2" t="str">
        <f>IFERROR(_xlfn.XLOOKUP(B263,ABST!B:B,ABST!C:C,,0),"-")</f>
        <v>-</v>
      </c>
      <c r="G263" t="str">
        <f>_xlfn.XLOOKUP(E263,CD_EQUIPES!A:A,CD_EQUIPES!B:B,,0)</f>
        <v>DIA</v>
      </c>
      <c r="H263">
        <f>_xlfn.XLOOKUP(TB_ATIVOS[[#This Row],[Chapa]],'8573'!D:D,'8573'!A:A,,0)</f>
        <v>2698</v>
      </c>
    </row>
    <row r="264" spans="1:8" x14ac:dyDescent="0.25">
      <c r="A264">
        <v>7464</v>
      </c>
      <c r="B264" t="s">
        <v>285</v>
      </c>
      <c r="C264" t="str">
        <f>_xlfn.TEXTBEFORE(B264, " ") &amp; " " &amp; _xlfn.TEXTAFTER(B264, " ", -1)</f>
        <v>IVANETE SILVA</v>
      </c>
      <c r="D264" t="s">
        <v>327</v>
      </c>
      <c r="E264" t="s">
        <v>344</v>
      </c>
      <c r="F264" s="2" t="str">
        <f>IFERROR(_xlfn.XLOOKUP(B264,ABST!B:B,ABST!C:C,,0),"-")</f>
        <v>-</v>
      </c>
      <c r="G264" t="str">
        <f>_xlfn.XLOOKUP(E264,CD_EQUIPES!A:A,CD_EQUIPES!B:B,,0)</f>
        <v>DIA</v>
      </c>
      <c r="H264">
        <f>_xlfn.XLOOKUP(TB_ATIVOS[[#This Row],[Chapa]],'8573'!D:D,'8573'!A:A,,0)</f>
        <v>180939</v>
      </c>
    </row>
    <row r="265" spans="1:8" x14ac:dyDescent="0.25">
      <c r="A265">
        <v>7867</v>
      </c>
      <c r="B265" t="s">
        <v>286</v>
      </c>
      <c r="C265" t="str">
        <f>_xlfn.TEXTBEFORE(B265, " ") &amp; " " &amp; _xlfn.TEXTAFTER(B265, " ", -1)</f>
        <v>YOHANNA CARIAMANA</v>
      </c>
      <c r="D265" t="s">
        <v>327</v>
      </c>
      <c r="E265" t="s">
        <v>344</v>
      </c>
      <c r="F265" s="2" t="str">
        <f>IFERROR(_xlfn.XLOOKUP(B265,ABST!B:B,ABST!C:C,,0),"-")</f>
        <v>-</v>
      </c>
      <c r="G265" t="str">
        <f>_xlfn.XLOOKUP(E265,CD_EQUIPES!A:A,CD_EQUIPES!B:B,,0)</f>
        <v>DIA</v>
      </c>
      <c r="H265">
        <f>_xlfn.XLOOKUP(TB_ATIVOS[[#This Row],[Chapa]],'8573'!D:D,'8573'!A:A,,0)</f>
        <v>181149</v>
      </c>
    </row>
    <row r="266" spans="1:8" x14ac:dyDescent="0.25">
      <c r="A266">
        <v>7990</v>
      </c>
      <c r="B266" t="s">
        <v>328</v>
      </c>
      <c r="C266" t="str">
        <f>_xlfn.TEXTBEFORE(B266, " ") &amp; " " &amp; _xlfn.TEXTAFTER(B266, " ", -1)</f>
        <v>RENATA OLIVEIRA</v>
      </c>
      <c r="D266" t="s">
        <v>327</v>
      </c>
      <c r="E266" t="s">
        <v>344</v>
      </c>
      <c r="F266" s="2" t="str">
        <f>IFERROR(_xlfn.XLOOKUP(B266,ABST!B:B,ABST!C:C,,0),"-")</f>
        <v>-</v>
      </c>
      <c r="G266" t="str">
        <f>_xlfn.XLOOKUP(E266,CD_EQUIPES!A:A,CD_EQUIPES!B:B,,0)</f>
        <v>DIA</v>
      </c>
      <c r="H266">
        <f>_xlfn.XLOOKUP(TB_ATIVOS[[#This Row],[Chapa]],'8573'!D:D,'8573'!A:A,,0)</f>
        <v>181229</v>
      </c>
    </row>
    <row r="267" spans="1:8" x14ac:dyDescent="0.25">
      <c r="A267">
        <v>8097</v>
      </c>
      <c r="B267" t="s">
        <v>326</v>
      </c>
      <c r="C267" t="str">
        <f>_xlfn.TEXTBEFORE(B267, " ") &amp; " " &amp; _xlfn.TEXTAFTER(B267, " ", -1)</f>
        <v>GENILZA COSTA</v>
      </c>
      <c r="D267" t="s">
        <v>327</v>
      </c>
      <c r="E267" t="s">
        <v>344</v>
      </c>
      <c r="F267" s="2" t="str">
        <f>IFERROR(_xlfn.XLOOKUP(B267,ABST!B:B,ABST!C:C,,0),"-")</f>
        <v>-</v>
      </c>
      <c r="G267" t="str">
        <f>_xlfn.XLOOKUP(E267,CD_EQUIPES!A:A,CD_EQUIPES!B:B,,0)</f>
        <v>DIA</v>
      </c>
      <c r="H267">
        <f>_xlfn.XLOOKUP(TB_ATIVOS[[#This Row],[Chapa]],'8573'!D:D,'8573'!A:A,,0)</f>
        <v>181288</v>
      </c>
    </row>
    <row r="268" spans="1:8" x14ac:dyDescent="0.25">
      <c r="A268">
        <v>8183</v>
      </c>
      <c r="B268" t="s">
        <v>452</v>
      </c>
      <c r="C268" t="str">
        <f>_xlfn.TEXTBEFORE(B268, " ") &amp; " " &amp; _xlfn.TEXTAFTER(B268, " ", -1)</f>
        <v>CARLOS SILVA</v>
      </c>
      <c r="D268" t="s">
        <v>327</v>
      </c>
      <c r="E268" t="s">
        <v>334</v>
      </c>
      <c r="F268" s="2" t="str">
        <f>IFERROR(_xlfn.XLOOKUP(B268,ABST!B:B,ABST!C:C,,0),"-")</f>
        <v>-</v>
      </c>
      <c r="G268" t="str">
        <f>_xlfn.XLOOKUP(E268,CD_EQUIPES!A:A,CD_EQUIPES!B:B,,0)</f>
        <v>NOITE</v>
      </c>
      <c r="H268">
        <f>_xlfn.XLOOKUP(TB_ATIVOS[[#This Row],[Chapa]],'8573'!D:D,'8573'!A:A,,0)</f>
        <v>181355</v>
      </c>
    </row>
    <row r="269" spans="1:8" x14ac:dyDescent="0.25">
      <c r="A269">
        <v>4954</v>
      </c>
      <c r="B269" t="s">
        <v>131</v>
      </c>
      <c r="C269" t="str">
        <f>_xlfn.TEXTBEFORE(B269, " ") &amp; " " &amp; _xlfn.TEXTAFTER(B269, " ", -1)</f>
        <v>MARCELO JESUS</v>
      </c>
      <c r="D269" t="s">
        <v>352</v>
      </c>
      <c r="E269" t="s">
        <v>336</v>
      </c>
      <c r="F269" s="2" t="str">
        <f>IFERROR(_xlfn.XLOOKUP(B269,ABST!B:B,ABST!C:C,,0),"-")</f>
        <v>-</v>
      </c>
      <c r="G269" t="str">
        <f>_xlfn.XLOOKUP(E269,CD_EQUIPES!A:A,CD_EQUIPES!B:B,,0)</f>
        <v>DIA</v>
      </c>
      <c r="H269">
        <f>_xlfn.XLOOKUP(TB_ATIVOS[[#This Row],[Chapa]],'8573'!D:D,'8573'!A:A,,0)</f>
        <v>122232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839B-62C0-4304-B717-B3C39210FD6D}">
  <sheetPr filterMode="1"/>
  <dimension ref="A1:E52"/>
  <sheetViews>
    <sheetView workbookViewId="0">
      <selection activeCell="D39" sqref="D39"/>
    </sheetView>
  </sheetViews>
  <sheetFormatPr defaultRowHeight="15" x14ac:dyDescent="0.25"/>
  <cols>
    <col min="1" max="1" width="13.5703125" bestFit="1" customWidth="1"/>
    <col min="2" max="2" width="38.7109375" bestFit="1" customWidth="1"/>
    <col min="3" max="3" width="13.85546875" bestFit="1" customWidth="1"/>
    <col min="4" max="4" width="17.42578125" bestFit="1" customWidth="1"/>
  </cols>
  <sheetData>
    <row r="1" spans="1:5" x14ac:dyDescent="0.25">
      <c r="A1" t="s">
        <v>185</v>
      </c>
      <c r="B1" t="s">
        <v>186</v>
      </c>
      <c r="C1" t="s">
        <v>187</v>
      </c>
      <c r="D1" t="s">
        <v>284</v>
      </c>
      <c r="E1" t="s">
        <v>455</v>
      </c>
    </row>
    <row r="2" spans="1:5" hidden="1" x14ac:dyDescent="0.25">
      <c r="A2">
        <v>180775</v>
      </c>
      <c r="B2" t="str">
        <f>_xlfn.XLOOKUP(A2,'8573'!A:A,'8573'!B:B,,0)</f>
        <v>ADAEL RAMOS SILVA PAIVA</v>
      </c>
      <c r="C2" t="s">
        <v>189</v>
      </c>
      <c r="D2" t="str">
        <f>_xlfn.XLOOKUP(B2,ATIVOS!B:B,ATIVOS!E:E,,0)</f>
        <v>EQUIPE D</v>
      </c>
      <c r="E2" t="str">
        <f>_xlfn.XLOOKUP(B2,TB_ATIVOS[Nome],TB_ATIVOS[TURNO],,0)</f>
        <v>NOITE</v>
      </c>
    </row>
    <row r="3" spans="1:5" hidden="1" x14ac:dyDescent="0.25">
      <c r="A3">
        <v>180185</v>
      </c>
      <c r="B3" t="str">
        <f>_xlfn.XLOOKUP(A3,'8573'!A:A,'8573'!B:B,,0)</f>
        <v>ALEANDRA TRINDADE SOUSA</v>
      </c>
      <c r="C3" t="s">
        <v>190</v>
      </c>
      <c r="D3" t="str">
        <f>_xlfn.XLOOKUP(B3,ATIVOS!B:B,ATIVOS!E:E,,0)</f>
        <v>FLOW RACK NOITE</v>
      </c>
      <c r="E3" t="str">
        <f>_xlfn.XLOOKUP(B3,TB_ATIVOS[Nome],TB_ATIVOS[TURNO],,0)</f>
        <v>NOITE</v>
      </c>
    </row>
    <row r="4" spans="1:5" hidden="1" x14ac:dyDescent="0.25">
      <c r="A4">
        <v>36699</v>
      </c>
      <c r="B4" t="s">
        <v>184</v>
      </c>
      <c r="C4" t="s">
        <v>190</v>
      </c>
      <c r="D4" t="s">
        <v>341</v>
      </c>
      <c r="E4" t="s">
        <v>409</v>
      </c>
    </row>
    <row r="5" spans="1:5" hidden="1" x14ac:dyDescent="0.25">
      <c r="A5">
        <v>1272</v>
      </c>
      <c r="B5" t="s">
        <v>15</v>
      </c>
      <c r="C5" t="s">
        <v>190</v>
      </c>
      <c r="D5" t="s">
        <v>344</v>
      </c>
      <c r="E5" t="s">
        <v>409</v>
      </c>
    </row>
    <row r="6" spans="1:5" hidden="1" x14ac:dyDescent="0.25">
      <c r="A6">
        <v>122268</v>
      </c>
      <c r="B6" t="str">
        <f>_xlfn.XLOOKUP(A6,'8573'!A:A,'8573'!B:B,,0)</f>
        <v>BRUNO OLIVEIRA SOUSA CARNEIRO</v>
      </c>
      <c r="C6" t="s">
        <v>189</v>
      </c>
      <c r="D6" t="str">
        <f>_xlfn.XLOOKUP(B6,ATIVOS!B:B,ATIVOS!E:E,,0)</f>
        <v>EQUIPE A4</v>
      </c>
      <c r="E6" t="str">
        <f>_xlfn.XLOOKUP(B6,TB_ATIVOS[Nome],TB_ATIVOS[TURNO],,0)</f>
        <v>DIA</v>
      </c>
    </row>
    <row r="7" spans="1:5" hidden="1" x14ac:dyDescent="0.25">
      <c r="A7">
        <v>180808</v>
      </c>
      <c r="B7" t="str">
        <f>_xlfn.XLOOKUP(A7,'8573'!A:A,'8573'!B:B,,0)</f>
        <v>BRUNO SILVEIRA LIMA</v>
      </c>
      <c r="C7" t="s">
        <v>190</v>
      </c>
      <c r="D7" t="str">
        <f>_xlfn.XLOOKUP(B7,ATIVOS!B:B,ATIVOS!E:E,,0)</f>
        <v>EQUIPE B</v>
      </c>
      <c r="E7" t="str">
        <f>_xlfn.XLOOKUP(B7,TB_ATIVOS[Nome],TB_ATIVOS[TURNO],,0)</f>
        <v>NOITE</v>
      </c>
    </row>
    <row r="8" spans="1:5" hidden="1" x14ac:dyDescent="0.25">
      <c r="A8">
        <v>180275</v>
      </c>
      <c r="B8" t="str">
        <f>_xlfn.XLOOKUP(A8,'8573'!A:A,'8573'!B:B,,0)</f>
        <v>CARLIENE DOURADO RODRIGUES</v>
      </c>
      <c r="C8" t="s">
        <v>190</v>
      </c>
      <c r="D8" t="str">
        <f>_xlfn.XLOOKUP(B8,ATIVOS!B:B,ATIVOS!E:E,,0)</f>
        <v>FLOW RACK NOITE</v>
      </c>
      <c r="E8" t="str">
        <f>_xlfn.XLOOKUP(B8,TB_ATIVOS[Nome],TB_ATIVOS[TURNO],,0)</f>
        <v>NOITE</v>
      </c>
    </row>
    <row r="9" spans="1:5" hidden="1" x14ac:dyDescent="0.25">
      <c r="A9">
        <v>180101</v>
      </c>
      <c r="B9" t="str">
        <f>_xlfn.XLOOKUP(A9,'8573'!A:A,'8573'!B:B,,0)</f>
        <v>CARLOS ALBERTO SANTOS DA SILVA FILHO</v>
      </c>
      <c r="C9" t="s">
        <v>190</v>
      </c>
      <c r="D9" t="str">
        <f>_xlfn.XLOOKUP(B9,ATIVOS!B:B,ATIVOS!E:E,,0)</f>
        <v>EQUIPE A3</v>
      </c>
      <c r="E9" t="str">
        <f>_xlfn.XLOOKUP(B9,TB_ATIVOS[Nome],TB_ATIVOS[TURNO],,0)</f>
        <v>DIA</v>
      </c>
    </row>
    <row r="10" spans="1:5" hidden="1" x14ac:dyDescent="0.25">
      <c r="A10">
        <v>101124</v>
      </c>
      <c r="B10" t="str">
        <f>_xlfn.XLOOKUP(A10,'8573'!A:A,'8573'!B:B,,0)</f>
        <v>CARLOS MESQUITA NASCIMENTO</v>
      </c>
      <c r="C10" t="s">
        <v>191</v>
      </c>
      <c r="D10" t="str">
        <f>_xlfn.XLOOKUP(B10,ATIVOS!B:B,ATIVOS!E:E,,0)</f>
        <v>EQUIPE A1</v>
      </c>
      <c r="E10" t="str">
        <f>_xlfn.XLOOKUP(B10,TB_ATIVOS[Nome],TB_ATIVOS[TURNO],,0)</f>
        <v>DIA</v>
      </c>
    </row>
    <row r="11" spans="1:5" hidden="1" x14ac:dyDescent="0.25">
      <c r="A11">
        <v>122407</v>
      </c>
      <c r="B11" t="str">
        <f>_xlfn.XLOOKUP(A11,'8573'!A:A,'8573'!B:B,,0)</f>
        <v>CEZAR LUIZ DE SOUZA</v>
      </c>
      <c r="C11" t="s">
        <v>189</v>
      </c>
      <c r="D11" t="str">
        <f>_xlfn.XLOOKUP(B11,ATIVOS!B:B,ATIVOS!E:E,,0)</f>
        <v>EQUIPE D</v>
      </c>
      <c r="E11" t="str">
        <f>_xlfn.XLOOKUP(B11,TB_ATIVOS[Nome],TB_ATIVOS[TURNO],,0)</f>
        <v>NOITE</v>
      </c>
    </row>
    <row r="12" spans="1:5" hidden="1" x14ac:dyDescent="0.25">
      <c r="A12">
        <v>180080</v>
      </c>
      <c r="B12" t="str">
        <f>_xlfn.XLOOKUP(A12,'8573'!A:A,'8573'!B:B,,0)</f>
        <v>ELEILSON FERNANDES DA SILVA</v>
      </c>
      <c r="C12" t="s">
        <v>190</v>
      </c>
      <c r="D12" t="str">
        <f>_xlfn.XLOOKUP(B12,ATIVOS!B:B,ATIVOS!E:E,,0)</f>
        <v>EQUIPE A1</v>
      </c>
      <c r="E12" t="str">
        <f>_xlfn.XLOOKUP(B12,TB_ATIVOS[Nome],TB_ATIVOS[TURNO],,0)</f>
        <v>DIA</v>
      </c>
    </row>
    <row r="13" spans="1:5" hidden="1" x14ac:dyDescent="0.25">
      <c r="A13">
        <v>1224</v>
      </c>
      <c r="B13" t="str">
        <f>_xlfn.XLOOKUP(A13,'8573'!A:A,'8573'!B:B,,0)</f>
        <v>ELIEL NUNES DE MORAES</v>
      </c>
      <c r="C13" t="s">
        <v>189</v>
      </c>
      <c r="D13" t="str">
        <f>_xlfn.XLOOKUP(B13,ATIVOS!B:B,ATIVOS!E:E,,0)</f>
        <v>EQUIPE A4</v>
      </c>
      <c r="E13" t="str">
        <f>_xlfn.XLOOKUP(B13,TB_ATIVOS[Nome],TB_ATIVOS[TURNO],,0)</f>
        <v>DIA</v>
      </c>
    </row>
    <row r="14" spans="1:5" hidden="1" x14ac:dyDescent="0.25">
      <c r="A14">
        <v>180909</v>
      </c>
      <c r="B14" t="str">
        <f>_xlfn.XLOOKUP(A14,'8573'!A:A,'8573'!B:B,,0)</f>
        <v>ELIMILSON DOS SANTOS GATINHO</v>
      </c>
      <c r="C14" t="s">
        <v>190</v>
      </c>
      <c r="D14" t="str">
        <f>_xlfn.XLOOKUP(B14,ATIVOS!B:B,ATIVOS!E:E,,0)</f>
        <v>EQUIPE B</v>
      </c>
      <c r="E14" t="str">
        <f>_xlfn.XLOOKUP(B14,TB_ATIVOS[Nome],TB_ATIVOS[TURNO],,0)</f>
        <v>NOITE</v>
      </c>
    </row>
    <row r="15" spans="1:5" hidden="1" x14ac:dyDescent="0.25">
      <c r="A15">
        <v>122692</v>
      </c>
      <c r="B15" t="str">
        <f>_xlfn.XLOOKUP(A15,'8573'!A:A,'8573'!B:B,,0)</f>
        <v>FABIANO LIMA DE OLIVEIRA</v>
      </c>
      <c r="C15" t="s">
        <v>191</v>
      </c>
      <c r="D15" t="str">
        <f>_xlfn.XLOOKUP(B15,ATIVOS!B:B,ATIVOS!E:E,,0)</f>
        <v>EQUIPE A1</v>
      </c>
      <c r="E15" t="str">
        <f>_xlfn.XLOOKUP(B15,TB_ATIVOS[Nome],TB_ATIVOS[TURNO],,0)</f>
        <v>DIA</v>
      </c>
    </row>
    <row r="16" spans="1:5" hidden="1" x14ac:dyDescent="0.25">
      <c r="A16">
        <v>181044</v>
      </c>
      <c r="B16" t="str">
        <f>_xlfn.XLOOKUP(A16,'8573'!A:A,'8573'!B:B,,0)</f>
        <v>FERNANDO PEREIRA DE MORAIS</v>
      </c>
      <c r="C16" t="s">
        <v>188</v>
      </c>
      <c r="D16" t="str">
        <f>_xlfn.XLOOKUP(B16,ATIVOS!B:B,ATIVOS!E:E,,0)</f>
        <v>EQUIPE A4</v>
      </c>
      <c r="E16" t="str">
        <f>_xlfn.XLOOKUP(B16,TB_ATIVOS[Nome],TB_ATIVOS[TURNO],,0)</f>
        <v>DIA</v>
      </c>
    </row>
    <row r="17" spans="1:5" hidden="1" x14ac:dyDescent="0.25">
      <c r="A17">
        <v>70015</v>
      </c>
      <c r="B17" t="str">
        <f>_xlfn.XLOOKUP(A17,'8573'!A:A,'8573'!B:B,,0)</f>
        <v>FRANCISCO DAS CHAGAS DE SOUSA</v>
      </c>
      <c r="C17" t="s">
        <v>189</v>
      </c>
      <c r="D17" t="str">
        <f>_xlfn.XLOOKUP(B17,ATIVOS!B:B,ATIVOS!E:E,,0)</f>
        <v>EQUIPE A4</v>
      </c>
      <c r="E17" t="str">
        <f>_xlfn.XLOOKUP(B17,TB_ATIVOS[Nome],TB_ATIVOS[TURNO],,0)</f>
        <v>DIA</v>
      </c>
    </row>
    <row r="18" spans="1:5" hidden="1" x14ac:dyDescent="0.25">
      <c r="A18">
        <v>180889</v>
      </c>
      <c r="B18" t="str">
        <f>_xlfn.XLOOKUP(A18,'8573'!A:A,'8573'!B:B,,0)</f>
        <v>GABRIEL FEITOSA MIRANDA</v>
      </c>
      <c r="C18" t="s">
        <v>188</v>
      </c>
      <c r="D18" t="str">
        <f>_xlfn.XLOOKUP(B18,ATIVOS!B:B,ATIVOS!E:E,,0)</f>
        <v>EQUIPE A4</v>
      </c>
      <c r="E18" t="str">
        <f>_xlfn.XLOOKUP(B18,TB_ATIVOS[Nome],TB_ATIVOS[TURNO],,0)</f>
        <v>DIA</v>
      </c>
    </row>
    <row r="19" spans="1:5" hidden="1" x14ac:dyDescent="0.25">
      <c r="A19">
        <v>122586</v>
      </c>
      <c r="B19" t="str">
        <f>_xlfn.XLOOKUP(A19,'8573'!A:A,'8573'!B:B,,0)</f>
        <v>GABRIEL SANTOS DE OLIVEIRA</v>
      </c>
      <c r="C19" t="s">
        <v>189</v>
      </c>
      <c r="D19" t="str">
        <f>_xlfn.XLOOKUP(B19,ATIVOS!B:B,ATIVOS!E:E,,0)</f>
        <v>EQUIPE D</v>
      </c>
      <c r="E19" t="str">
        <f>_xlfn.XLOOKUP(B19,TB_ATIVOS[Nome],TB_ATIVOS[TURNO],,0)</f>
        <v>NOITE</v>
      </c>
    </row>
    <row r="20" spans="1:5" hidden="1" x14ac:dyDescent="0.25">
      <c r="A20">
        <v>122621</v>
      </c>
      <c r="B20" t="str">
        <f>_xlfn.XLOOKUP(A20,'8573'!A:A,'8573'!B:B,,0)</f>
        <v>GLEISON LUIZ DOS SANTOS</v>
      </c>
      <c r="C20" t="s">
        <v>189</v>
      </c>
      <c r="D20" t="str">
        <f>_xlfn.XLOOKUP(B20,ATIVOS!B:B,ATIVOS!E:E,,0)</f>
        <v>EQUIPE D</v>
      </c>
      <c r="E20" t="str">
        <f>_xlfn.XLOOKUP(B20,TB_ATIVOS[Nome],TB_ATIVOS[TURNO],,0)</f>
        <v>NOITE</v>
      </c>
    </row>
    <row r="21" spans="1:5" hidden="1" x14ac:dyDescent="0.25">
      <c r="A21">
        <v>122592</v>
      </c>
      <c r="B21" t="str">
        <f>_xlfn.XLOOKUP(A21,'8573'!A:A,'8573'!B:B,,0)</f>
        <v>IGOR GABRIEL RODRIGUES DE OLIVEIRA</v>
      </c>
      <c r="C21" t="s">
        <v>189</v>
      </c>
      <c r="D21" t="str">
        <f>_xlfn.XLOOKUP(B21,ATIVOS!B:B,ATIVOS!E:E,,0)</f>
        <v>EQUIPE A4</v>
      </c>
      <c r="E21" t="str">
        <f>_xlfn.XLOOKUP(B21,TB_ATIVOS[Nome],TB_ATIVOS[TURNO],,0)</f>
        <v>DIA</v>
      </c>
    </row>
    <row r="22" spans="1:5" hidden="1" x14ac:dyDescent="0.25">
      <c r="A22">
        <v>180698</v>
      </c>
      <c r="B22" t="str">
        <f>_xlfn.XLOOKUP(A22,'8573'!A:A,'8573'!B:B,,0)</f>
        <v>JOAO ALLISON DE LIRA MONTEIRO</v>
      </c>
      <c r="C22" t="s">
        <v>191</v>
      </c>
      <c r="D22" t="str">
        <f>_xlfn.XLOOKUP(B22,ATIVOS!B:B,ATIVOS!E:E,,0)</f>
        <v>EQUIPE A1</v>
      </c>
      <c r="E22" t="str">
        <f>_xlfn.XLOOKUP(B22,TB_ATIVOS[Nome],TB_ATIVOS[TURNO],,0)</f>
        <v>DIA</v>
      </c>
    </row>
    <row r="23" spans="1:5" hidden="1" x14ac:dyDescent="0.25">
      <c r="A23">
        <v>180863</v>
      </c>
      <c r="B23" t="str">
        <f>_xlfn.XLOOKUP(A23,'8573'!A:A,'8573'!B:B,,0)</f>
        <v>JOEDNA FERREIRA DE ALMEIDA RIBEIRO</v>
      </c>
      <c r="C23" t="s">
        <v>190</v>
      </c>
      <c r="D23" t="str">
        <f>_xlfn.XLOOKUP(B23,ATIVOS!B:B,ATIVOS!E:E,,0)</f>
        <v>EQUIPE A4</v>
      </c>
      <c r="E23" t="str">
        <f>_xlfn.XLOOKUP(B23,TB_ATIVOS[Nome],TB_ATIVOS[TURNO],,0)</f>
        <v>DIA</v>
      </c>
    </row>
    <row r="24" spans="1:5" hidden="1" x14ac:dyDescent="0.25">
      <c r="A24">
        <v>180110</v>
      </c>
      <c r="B24" t="str">
        <f>_xlfn.XLOOKUP(A24,'8573'!A:A,'8573'!B:B,,0)</f>
        <v>JOSE FRANCISCO LIMA MEDEIROS</v>
      </c>
      <c r="C24" t="s">
        <v>191</v>
      </c>
      <c r="D24" t="str">
        <f>_xlfn.XLOOKUP(B24,ATIVOS!B:B,ATIVOS!E:E,,0)</f>
        <v>EQUIPE A1</v>
      </c>
      <c r="E24" t="str">
        <f>_xlfn.XLOOKUP(B24,TB_ATIVOS[Nome],TB_ATIVOS[TURNO],,0)</f>
        <v>DIA</v>
      </c>
    </row>
    <row r="25" spans="1:5" hidden="1" x14ac:dyDescent="0.25">
      <c r="A25">
        <v>180033</v>
      </c>
      <c r="B25" t="str">
        <f>_xlfn.XLOOKUP(A25,'8573'!A:A,'8573'!B:B,,0)</f>
        <v>JOSE RONILDO DA SILVA NEGREIRO</v>
      </c>
      <c r="C25" t="s">
        <v>189</v>
      </c>
      <c r="D25" t="str">
        <f>_xlfn.XLOOKUP(B25,ATIVOS!B:B,ATIVOS!E:E,,0)</f>
        <v>EQUIPE A4</v>
      </c>
      <c r="E25" t="str">
        <f>_xlfn.XLOOKUP(B25,TB_ATIVOS[Nome],TB_ATIVOS[TURNO],,0)</f>
        <v>DIA</v>
      </c>
    </row>
    <row r="26" spans="1:5" hidden="1" x14ac:dyDescent="0.25">
      <c r="A26">
        <v>180920</v>
      </c>
      <c r="B26" t="str">
        <f>_xlfn.XLOOKUP(A26,'8573'!A:A,'8573'!B:B,,0)</f>
        <v>JOSIVALDO FREITAS FEITOSA</v>
      </c>
      <c r="C26" t="s">
        <v>188</v>
      </c>
      <c r="D26" t="str">
        <f>_xlfn.XLOOKUP(B26,ATIVOS!B:B,ATIVOS!E:E,,0)</f>
        <v>EQUIPE A4</v>
      </c>
      <c r="E26" t="str">
        <f>_xlfn.XLOOKUP(B26,TB_ATIVOS[Nome],TB_ATIVOS[TURNO],,0)</f>
        <v>DIA</v>
      </c>
    </row>
    <row r="27" spans="1:5" hidden="1" x14ac:dyDescent="0.25">
      <c r="A27">
        <v>122716</v>
      </c>
      <c r="B27" t="str">
        <f>_xlfn.XLOOKUP(A27,'8573'!A:A,'8573'!B:B,,0)</f>
        <v>JOSUE DOS SANTOS SOUSA</v>
      </c>
      <c r="C27" t="s">
        <v>188</v>
      </c>
      <c r="D27" t="str">
        <f>_xlfn.XLOOKUP(B27,ATIVOS!B:B,ATIVOS!E:E,,0)</f>
        <v>EQUIPE A4</v>
      </c>
      <c r="E27" t="str">
        <f>_xlfn.XLOOKUP(B27,TB_ATIVOS[Nome],TB_ATIVOS[TURNO],,0)</f>
        <v>DIA</v>
      </c>
    </row>
    <row r="28" spans="1:5" hidden="1" x14ac:dyDescent="0.25">
      <c r="A28">
        <v>122626</v>
      </c>
      <c r="B28" t="str">
        <f>_xlfn.XLOOKUP(A28,'8573'!A:A,'8573'!B:B,,0)</f>
        <v>JUCIVAN BRITO DE OLIVEIRA</v>
      </c>
      <c r="C28" t="s">
        <v>189</v>
      </c>
      <c r="D28" t="str">
        <f>_xlfn.XLOOKUP(B28,ATIVOS!B:B,ATIVOS!E:E,,0)</f>
        <v>EQUIPE A4</v>
      </c>
      <c r="E28" t="str">
        <f>_xlfn.XLOOKUP(B28,TB_ATIVOS[Nome],TB_ATIVOS[TURNO],,0)</f>
        <v>DIA</v>
      </c>
    </row>
    <row r="29" spans="1:5" hidden="1" x14ac:dyDescent="0.25">
      <c r="A29">
        <v>122114</v>
      </c>
      <c r="B29" t="str">
        <f>_xlfn.XLOOKUP(A29,'8573'!A:A,'8573'!B:B,,0)</f>
        <v>KASSIO CARVALHO DA SILVA</v>
      </c>
      <c r="C29" t="s">
        <v>189</v>
      </c>
      <c r="D29" t="str">
        <f>_xlfn.XLOOKUP(B29,ATIVOS!B:B,ATIVOS!E:E,,0)</f>
        <v>EQUIPE D</v>
      </c>
      <c r="E29" t="str">
        <f>_xlfn.XLOOKUP(B29,TB_ATIVOS[Nome],TB_ATIVOS[TURNO],,0)</f>
        <v>NOITE</v>
      </c>
    </row>
    <row r="30" spans="1:5" hidden="1" x14ac:dyDescent="0.25">
      <c r="A30" s="1">
        <v>180782</v>
      </c>
      <c r="B30" t="str">
        <f>_xlfn.XLOOKUP(A30,'8573'!A:A,'8573'!B:B,,0)</f>
        <v>KELVY SALES BARBOSA</v>
      </c>
      <c r="C30" t="s">
        <v>190</v>
      </c>
      <c r="D30" t="str">
        <f>_xlfn.XLOOKUP(B30,ATIVOS!B:B,ATIVOS!E:E,,0)</f>
        <v>EQUIPE A4</v>
      </c>
      <c r="E30" t="str">
        <f>_xlfn.XLOOKUP(B30,TB_ATIVOS[Nome],TB_ATIVOS[TURNO],,0)</f>
        <v>DIA</v>
      </c>
    </row>
    <row r="31" spans="1:5" hidden="1" x14ac:dyDescent="0.25">
      <c r="A31">
        <v>180919</v>
      </c>
      <c r="B31" t="str">
        <f>_xlfn.XLOOKUP(A31,'8573'!A:A,'8573'!B:B,,0)</f>
        <v>LUCAS DOS ANJOS SILVA</v>
      </c>
      <c r="C31" t="s">
        <v>188</v>
      </c>
      <c r="D31" t="str">
        <f>_xlfn.XLOOKUP(B31,ATIVOS!B:B,ATIVOS!E:E,,0)</f>
        <v>EQUIPE A4</v>
      </c>
      <c r="E31" t="str">
        <f>_xlfn.XLOOKUP(B31,TB_ATIVOS[Nome],TB_ATIVOS[TURNO],,0)</f>
        <v>DIA</v>
      </c>
    </row>
    <row r="32" spans="1:5" hidden="1" x14ac:dyDescent="0.25">
      <c r="A32">
        <v>180917</v>
      </c>
      <c r="B32" t="str">
        <f>_xlfn.XLOOKUP(A32,'8573'!A:A,'8573'!B:B,,0)</f>
        <v>LUCAS PEREIRA DOS SANTOS</v>
      </c>
      <c r="C32" t="s">
        <v>188</v>
      </c>
      <c r="D32" t="str">
        <f>_xlfn.XLOOKUP(B32,ATIVOS!B:B,ATIVOS!E:E,,0)</f>
        <v>EQUIPE A4</v>
      </c>
      <c r="E32" t="str">
        <f>_xlfn.XLOOKUP(B32,TB_ATIVOS[Nome],TB_ATIVOS[TURNO],,0)</f>
        <v>DIA</v>
      </c>
    </row>
    <row r="33" spans="1:5" hidden="1" x14ac:dyDescent="0.25">
      <c r="A33">
        <v>122313</v>
      </c>
      <c r="B33" t="str">
        <f>_xlfn.XLOOKUP(A33,'8573'!A:A,'8573'!B:B,,0)</f>
        <v>LUCIANE RIBEIRO DA SILVA</v>
      </c>
      <c r="C33" t="s">
        <v>190</v>
      </c>
      <c r="D33" t="str">
        <f>_xlfn.XLOOKUP(B33,ATIVOS!B:B,ATIVOS!E:E,,0)</f>
        <v>EQUIPE C</v>
      </c>
      <c r="E33" t="str">
        <f>_xlfn.XLOOKUP(B33,TB_ATIVOS[Nome],TB_ATIVOS[TURNO],,0)</f>
        <v>NOITE</v>
      </c>
    </row>
    <row r="34" spans="1:5" hidden="1" x14ac:dyDescent="0.25">
      <c r="A34">
        <v>100873</v>
      </c>
      <c r="B34" t="str">
        <f>_xlfn.XLOOKUP(A34,'8573'!A:A,'8573'!B:B,,0)</f>
        <v>LUCIANO DE FRANCA SILVA</v>
      </c>
      <c r="C34" t="s">
        <v>189</v>
      </c>
      <c r="D34" t="str">
        <f>_xlfn.XLOOKUP(B34,ATIVOS!B:B,ATIVOS!E:E,,0)</f>
        <v>EQUIPE D</v>
      </c>
      <c r="E34" t="str">
        <f>_xlfn.XLOOKUP(B34,TB_ATIVOS[Nome],TB_ATIVOS[TURNO],,0)</f>
        <v>NOITE</v>
      </c>
    </row>
    <row r="35" spans="1:5" hidden="1" x14ac:dyDescent="0.25">
      <c r="A35">
        <v>180764</v>
      </c>
      <c r="B35" t="str">
        <f>_xlfn.XLOOKUP(A35,'8573'!A:A,'8573'!B:B,,0)</f>
        <v>LUIS ENRIQUE BETANCOURT CASTILLO</v>
      </c>
      <c r="C35" t="s">
        <v>188</v>
      </c>
      <c r="D35" t="str">
        <f>_xlfn.XLOOKUP(B35,ATIVOS!B:B,ATIVOS!E:E,,0)</f>
        <v>EQUIPE C</v>
      </c>
      <c r="E35" t="str">
        <f>_xlfn.XLOOKUP(B35,TB_ATIVOS[Nome],TB_ATIVOS[TURNO],,0)</f>
        <v>NOITE</v>
      </c>
    </row>
    <row r="36" spans="1:5" hidden="1" x14ac:dyDescent="0.25">
      <c r="A36">
        <v>1260</v>
      </c>
      <c r="B36" t="s">
        <v>127</v>
      </c>
      <c r="C36" t="s">
        <v>190</v>
      </c>
      <c r="D36" t="s">
        <v>344</v>
      </c>
      <c r="E36" t="s">
        <v>409</v>
      </c>
    </row>
    <row r="37" spans="1:5" hidden="1" x14ac:dyDescent="0.25">
      <c r="A37">
        <v>36723</v>
      </c>
      <c r="B37" t="str">
        <f>_xlfn.XLOOKUP(A37,'8573'!A:A,'8573'!B:B,,0)</f>
        <v>MARCIEL NASCIMENTO DA SILVA</v>
      </c>
      <c r="C37" t="s">
        <v>189</v>
      </c>
      <c r="D37" t="str">
        <f>_xlfn.XLOOKUP(B37,ATIVOS!B:B,ATIVOS!E:E,,0)</f>
        <v>EQUIPE A4</v>
      </c>
      <c r="E37" t="str">
        <f>_xlfn.XLOOKUP(B37,TB_ATIVOS[Nome],TB_ATIVOS[TURNO],,0)</f>
        <v>DIA</v>
      </c>
    </row>
    <row r="38" spans="1:5" hidden="1" x14ac:dyDescent="0.25">
      <c r="A38">
        <v>180794</v>
      </c>
      <c r="B38" t="str">
        <f>_xlfn.XLOOKUP(A38,'8573'!A:A,'8573'!B:B,,0)</f>
        <v>MATEUS EVANGELISTA DOS SANTOS</v>
      </c>
      <c r="C38" t="s">
        <v>188</v>
      </c>
      <c r="D38" t="str">
        <f>_xlfn.XLOOKUP(B38,ATIVOS!B:B,ATIVOS!E:E,,0)</f>
        <v>EQUIPE A4</v>
      </c>
      <c r="E38" t="str">
        <f>_xlfn.XLOOKUP(B38,TB_ATIVOS[Nome],TB_ATIVOS[TURNO],,0)</f>
        <v>DIA</v>
      </c>
    </row>
    <row r="39" spans="1:5" x14ac:dyDescent="0.25">
      <c r="A39">
        <v>1</v>
      </c>
      <c r="B39" t="s">
        <v>191</v>
      </c>
      <c r="C39" t="s">
        <v>191</v>
      </c>
      <c r="D39" t="str">
        <f>_xlfn.XLOOKUP(B39,ATIVOS!B:B,ATIVOS!E:E,,0)</f>
        <v>RECEBIMENTO</v>
      </c>
      <c r="E39" t="s">
        <v>409</v>
      </c>
    </row>
    <row r="40" spans="1:5" hidden="1" x14ac:dyDescent="0.25">
      <c r="A40">
        <v>180906</v>
      </c>
      <c r="B40" t="str">
        <f>_xlfn.XLOOKUP(A40,'8573'!A:A,'8573'!B:B,,0)</f>
        <v>REGINALDO SOARES DA SILVA</v>
      </c>
      <c r="C40" t="s">
        <v>188</v>
      </c>
      <c r="D40" t="str">
        <f>_xlfn.XLOOKUP(B40,ATIVOS!B:B,ATIVOS!E:E,,0)</f>
        <v>EQUIPE A4</v>
      </c>
      <c r="E40" t="str">
        <f>_xlfn.XLOOKUP(B40,TB_ATIVOS[Nome],TB_ATIVOS[TURNO],,0)</f>
        <v>DIA</v>
      </c>
    </row>
    <row r="41" spans="1:5" hidden="1" x14ac:dyDescent="0.25">
      <c r="A41">
        <v>180221</v>
      </c>
      <c r="B41" t="str">
        <f>_xlfn.XLOOKUP(A41,'8573'!A:A,'8573'!B:B,,0)</f>
        <v>SATILO VIEIRA SANTOS</v>
      </c>
      <c r="C41" t="s">
        <v>188</v>
      </c>
      <c r="D41" t="str">
        <f>_xlfn.XLOOKUP(B41,ATIVOS!B:B,ATIVOS!E:E,,0)</f>
        <v>EQUIPE D</v>
      </c>
      <c r="E41" t="str">
        <f>_xlfn.XLOOKUP(B41,TB_ATIVOS[Nome],TB_ATIVOS[TURNO],,0)</f>
        <v>NOITE</v>
      </c>
    </row>
    <row r="42" spans="1:5" hidden="1" x14ac:dyDescent="0.25">
      <c r="A42">
        <v>180091</v>
      </c>
      <c r="B42" t="str">
        <f>_xlfn.XLOOKUP(A42,'8573'!A:A,'8573'!B:B,,0)</f>
        <v>SIMONE LIMA DE SOUSA SANTOS</v>
      </c>
      <c r="C42" t="s">
        <v>190</v>
      </c>
      <c r="D42" t="str">
        <f>_xlfn.XLOOKUP(B42,ATIVOS!B:B,ATIVOS!E:E,,0)</f>
        <v>FLOW RACK NOITE</v>
      </c>
      <c r="E42" t="str">
        <f>_xlfn.XLOOKUP(B42,TB_ATIVOS[Nome],TB_ATIVOS[TURNO],,0)</f>
        <v>NOITE</v>
      </c>
    </row>
    <row r="43" spans="1:5" hidden="1" x14ac:dyDescent="0.25">
      <c r="A43">
        <v>180121</v>
      </c>
      <c r="B43" t="str">
        <f>_xlfn.XLOOKUP(A43,'8573'!A:A,'8573'!B:B,,0)</f>
        <v>TAINA MEDEIROS RIBEIRO</v>
      </c>
      <c r="C43" t="s">
        <v>190</v>
      </c>
      <c r="D43" t="str">
        <f>_xlfn.XLOOKUP(B43,ATIVOS!B:B,ATIVOS!E:E,,0)</f>
        <v>EQUIPE D</v>
      </c>
      <c r="E43" t="str">
        <f>_xlfn.XLOOKUP(B43,TB_ATIVOS[Nome],TB_ATIVOS[TURNO],,0)</f>
        <v>NOITE</v>
      </c>
    </row>
    <row r="44" spans="1:5" hidden="1" x14ac:dyDescent="0.25">
      <c r="A44">
        <v>180774</v>
      </c>
      <c r="B44" t="str">
        <f>_xlfn.XLOOKUP(A44,'8573'!A:A,'8573'!B:B,,0)</f>
        <v>VALMIR CAMPOS SOUSA FILHO</v>
      </c>
      <c r="C44" t="s">
        <v>189</v>
      </c>
      <c r="D44" t="str">
        <f>_xlfn.XLOOKUP(B44,ATIVOS!B:B,ATIVOS!E:E,,0)</f>
        <v>EQUIPE A4</v>
      </c>
      <c r="E44" t="str">
        <f>_xlfn.XLOOKUP(B44,TB_ATIVOS[Nome],TB_ATIVOS[TURNO],,0)</f>
        <v>DIA</v>
      </c>
    </row>
    <row r="45" spans="1:5" hidden="1" x14ac:dyDescent="0.25">
      <c r="A45">
        <v>122702</v>
      </c>
      <c r="B45" t="str">
        <f>_xlfn.XLOOKUP(A45,'8573'!A:A,'8573'!B:B,,0)</f>
        <v>WUILLIAMS RAFAEL FIGUEROA REQUENA</v>
      </c>
      <c r="C45" t="s">
        <v>188</v>
      </c>
      <c r="D45" t="str">
        <f>_xlfn.XLOOKUP(B45,ATIVOS!B:B,ATIVOS!E:E,,0)</f>
        <v>EQUIPE C</v>
      </c>
      <c r="E45" t="str">
        <f>_xlfn.XLOOKUP(B45,TB_ATIVOS[Nome],TB_ATIVOS[TURNO],,0)</f>
        <v>NOITE</v>
      </c>
    </row>
    <row r="46" spans="1:5" hidden="1" x14ac:dyDescent="0.25">
      <c r="A46">
        <v>122537</v>
      </c>
      <c r="B46" t="str">
        <f>_xlfn.XLOOKUP(A46,'8573'!A:A,'8573'!B:B,,0)</f>
        <v>YAGO RODRIGUES DA SILVA</v>
      </c>
      <c r="C46" t="s">
        <v>190</v>
      </c>
      <c r="D46" t="str">
        <f>_xlfn.XLOOKUP(B46,ATIVOS!B:B,ATIVOS!E:E,,0)</f>
        <v>EQUIPE D</v>
      </c>
      <c r="E46" t="str">
        <f>_xlfn.XLOOKUP(B46,TB_ATIVOS[Nome],TB_ATIVOS[TURNO],,0)</f>
        <v>NOITE</v>
      </c>
    </row>
    <row r="47" spans="1:5" x14ac:dyDescent="0.25">
      <c r="A47">
        <v>100080</v>
      </c>
      <c r="B47" t="s">
        <v>123</v>
      </c>
      <c r="C47" t="s">
        <v>190</v>
      </c>
      <c r="D47" t="s">
        <v>347</v>
      </c>
      <c r="E47" t="s">
        <v>409</v>
      </c>
    </row>
    <row r="48" spans="1:5" hidden="1" x14ac:dyDescent="0.25">
      <c r="A48">
        <v>26082</v>
      </c>
      <c r="B48" t="s">
        <v>411</v>
      </c>
      <c r="C48" t="s">
        <v>190</v>
      </c>
      <c r="D48" t="s">
        <v>341</v>
      </c>
      <c r="E48" t="str">
        <f>_xlfn.XLOOKUP(B48,TB_ATIVOS[Nome],TB_ATIVOS[TURNO],,0)</f>
        <v>DIA</v>
      </c>
    </row>
    <row r="49" spans="1:5" hidden="1" x14ac:dyDescent="0.25">
      <c r="A49">
        <v>1311</v>
      </c>
      <c r="B49" t="s">
        <v>413</v>
      </c>
      <c r="C49" t="s">
        <v>190</v>
      </c>
      <c r="D49" t="s">
        <v>340</v>
      </c>
      <c r="E49" t="s">
        <v>409</v>
      </c>
    </row>
    <row r="50" spans="1:5" hidden="1" x14ac:dyDescent="0.25">
      <c r="A50">
        <v>180221</v>
      </c>
      <c r="B50" t="s">
        <v>159</v>
      </c>
      <c r="C50" t="s">
        <v>188</v>
      </c>
      <c r="D50" t="str">
        <f>_xlfn.XLOOKUP(B50,ATIVOS!B:B,ATIVOS!E:E,,0)</f>
        <v>EQUIPE D</v>
      </c>
      <c r="E50" t="str">
        <f>_xlfn.XLOOKUP(B50,TB_ATIVOS[Nome],TB_ATIVOS[TURNO],,0)</f>
        <v>NOITE</v>
      </c>
    </row>
    <row r="51" spans="1:5" hidden="1" x14ac:dyDescent="0.25">
      <c r="A51">
        <v>181292</v>
      </c>
      <c r="B51" t="s">
        <v>298</v>
      </c>
      <c r="C51" t="s">
        <v>188</v>
      </c>
      <c r="D51" t="str">
        <f>_xlfn.XLOOKUP(B51,ATIVOS!B:B,ATIVOS!E:E,,0)</f>
        <v>EQUIPE D</v>
      </c>
      <c r="E51" t="str">
        <f>_xlfn.XLOOKUP(B51,TB_ATIVOS[Nome],TB_ATIVOS[TURNO],,0)</f>
        <v>NOITE</v>
      </c>
    </row>
    <row r="52" spans="1:5" hidden="1" x14ac:dyDescent="0.25">
      <c r="A52">
        <v>181181</v>
      </c>
      <c r="B52" t="s">
        <v>266</v>
      </c>
      <c r="C52" t="s">
        <v>188</v>
      </c>
      <c r="D52" t="str">
        <f>_xlfn.XLOOKUP(B52,ATIVOS!B:B,ATIVOS!E:E,,0)</f>
        <v>EQUIPE D</v>
      </c>
      <c r="E52" t="str">
        <f>_xlfn.XLOOKUP(B52,TB_ATIVOS[Nome],TB_ATIVOS[TURNO],,0)</f>
        <v>NOITE</v>
      </c>
    </row>
  </sheetData>
  <autoFilter ref="A1:E52" xr:uid="{8C70839B-62C0-4304-B717-B3C39210FD6D}">
    <filterColumn colId="4">
      <filters>
        <filter val="#N/D"/>
      </filters>
    </filterColumn>
  </autoFilter>
  <conditionalFormatting sqref="B1:B45">
    <cfRule type="duplicateValues" dxfId="3" priority="32"/>
    <cfRule type="duplicateValues" dxfId="2" priority="33"/>
    <cfRule type="duplicateValues" dxfId="1" priority="34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3A91-CD99-476E-89D2-41228495E0BC}">
  <dimension ref="A1:B13"/>
  <sheetViews>
    <sheetView workbookViewId="0">
      <selection activeCell="E20" sqref="E20"/>
    </sheetView>
  </sheetViews>
  <sheetFormatPr defaultRowHeight="15" x14ac:dyDescent="0.25"/>
  <cols>
    <col min="1" max="1" width="18" bestFit="1" customWidth="1"/>
    <col min="2" max="2" width="14" bestFit="1" customWidth="1"/>
  </cols>
  <sheetData>
    <row r="1" spans="1:2" x14ac:dyDescent="0.25">
      <c r="A1" t="s">
        <v>332</v>
      </c>
      <c r="B1" t="s">
        <v>283</v>
      </c>
    </row>
    <row r="2" spans="1:2" x14ac:dyDescent="0.25">
      <c r="A2" t="s">
        <v>341</v>
      </c>
      <c r="B2" t="s">
        <v>409</v>
      </c>
    </row>
    <row r="3" spans="1:2" x14ac:dyDescent="0.25">
      <c r="A3" t="s">
        <v>344</v>
      </c>
      <c r="B3" t="s">
        <v>409</v>
      </c>
    </row>
    <row r="4" spans="1:2" x14ac:dyDescent="0.25">
      <c r="A4" t="s">
        <v>336</v>
      </c>
      <c r="B4" t="s">
        <v>409</v>
      </c>
    </row>
    <row r="5" spans="1:2" x14ac:dyDescent="0.25">
      <c r="A5" t="s">
        <v>347</v>
      </c>
      <c r="B5" t="s">
        <v>409</v>
      </c>
    </row>
    <row r="6" spans="1:2" x14ac:dyDescent="0.25">
      <c r="A6" t="s">
        <v>338</v>
      </c>
      <c r="B6" t="s">
        <v>410</v>
      </c>
    </row>
    <row r="7" spans="1:2" x14ac:dyDescent="0.25">
      <c r="A7" t="s">
        <v>335</v>
      </c>
      <c r="B7" t="s">
        <v>410</v>
      </c>
    </row>
    <row r="8" spans="1:2" x14ac:dyDescent="0.25">
      <c r="A8" t="s">
        <v>334</v>
      </c>
      <c r="B8" t="s">
        <v>410</v>
      </c>
    </row>
    <row r="9" spans="1:2" x14ac:dyDescent="0.25">
      <c r="A9" t="s">
        <v>350</v>
      </c>
      <c r="B9" t="s">
        <v>409</v>
      </c>
    </row>
    <row r="10" spans="1:2" x14ac:dyDescent="0.25">
      <c r="A10" t="s">
        <v>343</v>
      </c>
      <c r="B10" t="s">
        <v>409</v>
      </c>
    </row>
    <row r="11" spans="1:2" x14ac:dyDescent="0.25">
      <c r="A11" t="s">
        <v>337</v>
      </c>
      <c r="B11" t="s">
        <v>410</v>
      </c>
    </row>
    <row r="12" spans="1:2" x14ac:dyDescent="0.25">
      <c r="A12" t="s">
        <v>340</v>
      </c>
      <c r="B12" t="s">
        <v>409</v>
      </c>
    </row>
    <row r="13" spans="1:2" x14ac:dyDescent="0.25">
      <c r="A13" t="s">
        <v>348</v>
      </c>
      <c r="B13" t="s">
        <v>410</v>
      </c>
    </row>
  </sheetData>
  <autoFilter ref="A1:B13" xr:uid="{35843A91-CD99-476E-89D2-41228495E0BC}">
    <sortState xmlns:xlrd2="http://schemas.microsoft.com/office/spreadsheetml/2017/richdata2" ref="A2:B13">
      <sortCondition ref="B1:B13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11B56-6862-436C-B9CE-51537B7F1FEE}">
  <sheetPr filterMode="1"/>
  <dimension ref="A1:E364"/>
  <sheetViews>
    <sheetView workbookViewId="0">
      <selection activeCell="D368" sqref="D368:K373"/>
    </sheetView>
  </sheetViews>
  <sheetFormatPr defaultRowHeight="15" x14ac:dyDescent="0.25"/>
  <cols>
    <col min="1" max="1" width="11.28515625" bestFit="1" customWidth="1"/>
    <col min="2" max="2" width="44.85546875" bestFit="1" customWidth="1"/>
    <col min="3" max="3" width="7.42578125" bestFit="1" customWidth="1"/>
    <col min="4" max="4" width="7.140625" bestFit="1" customWidth="1"/>
    <col min="5" max="5" width="22.85546875" bestFit="1" customWidth="1"/>
  </cols>
  <sheetData>
    <row r="1" spans="1:5" x14ac:dyDescent="0.25">
      <c r="A1" t="s">
        <v>185</v>
      </c>
      <c r="B1" t="s">
        <v>186</v>
      </c>
      <c r="C1" t="s">
        <v>284</v>
      </c>
      <c r="D1" t="s">
        <v>365</v>
      </c>
      <c r="E1" t="s">
        <v>192</v>
      </c>
    </row>
    <row r="2" spans="1:5" hidden="1" x14ac:dyDescent="0.25">
      <c r="A2">
        <v>2698</v>
      </c>
      <c r="B2" t="s">
        <v>91</v>
      </c>
      <c r="C2" t="s">
        <v>366</v>
      </c>
      <c r="D2">
        <v>2394</v>
      </c>
      <c r="E2" t="s">
        <v>367</v>
      </c>
    </row>
    <row r="3" spans="1:5" hidden="1" x14ac:dyDescent="0.25">
      <c r="A3">
        <v>180939</v>
      </c>
      <c r="B3" t="s">
        <v>285</v>
      </c>
      <c r="C3" t="s">
        <v>368</v>
      </c>
      <c r="D3">
        <v>7464</v>
      </c>
      <c r="E3" t="s">
        <v>367</v>
      </c>
    </row>
    <row r="4" spans="1:5" hidden="1" x14ac:dyDescent="0.25">
      <c r="A4">
        <v>181149</v>
      </c>
      <c r="B4" t="s">
        <v>286</v>
      </c>
      <c r="C4" t="s">
        <v>366</v>
      </c>
      <c r="D4">
        <v>7867</v>
      </c>
      <c r="E4" t="s">
        <v>367</v>
      </c>
    </row>
    <row r="5" spans="1:5" hidden="1" x14ac:dyDescent="0.25">
      <c r="A5">
        <v>101065</v>
      </c>
      <c r="B5" t="s">
        <v>20</v>
      </c>
      <c r="C5" t="s">
        <v>369</v>
      </c>
      <c r="D5">
        <v>4394</v>
      </c>
      <c r="E5" t="s">
        <v>370</v>
      </c>
    </row>
    <row r="6" spans="1:5" hidden="1" x14ac:dyDescent="0.25">
      <c r="A6">
        <v>180174</v>
      </c>
      <c r="B6" t="s">
        <v>145</v>
      </c>
      <c r="C6" t="s">
        <v>366</v>
      </c>
      <c r="D6">
        <v>6503</v>
      </c>
      <c r="E6" t="s">
        <v>370</v>
      </c>
    </row>
    <row r="7" spans="1:5" hidden="1" x14ac:dyDescent="0.25">
      <c r="A7">
        <v>180275</v>
      </c>
      <c r="B7" t="s">
        <v>26</v>
      </c>
      <c r="C7" t="s">
        <v>371</v>
      </c>
      <c r="D7">
        <v>6883</v>
      </c>
      <c r="E7" t="s">
        <v>370</v>
      </c>
    </row>
    <row r="8" spans="1:5" hidden="1" x14ac:dyDescent="0.25">
      <c r="A8">
        <v>122537</v>
      </c>
      <c r="B8" t="s">
        <v>182</v>
      </c>
      <c r="C8" t="s">
        <v>371</v>
      </c>
      <c r="D8">
        <v>5815</v>
      </c>
      <c r="E8" t="s">
        <v>370</v>
      </c>
    </row>
    <row r="9" spans="1:5" hidden="1" x14ac:dyDescent="0.25">
      <c r="A9">
        <v>180909</v>
      </c>
      <c r="B9" t="s">
        <v>51</v>
      </c>
      <c r="C9" t="s">
        <v>372</v>
      </c>
      <c r="D9">
        <v>7381</v>
      </c>
      <c r="E9" t="s">
        <v>370</v>
      </c>
    </row>
    <row r="10" spans="1:5" hidden="1" x14ac:dyDescent="0.25">
      <c r="A10">
        <v>180101</v>
      </c>
      <c r="B10" t="s">
        <v>28</v>
      </c>
      <c r="C10" t="s">
        <v>373</v>
      </c>
      <c r="D10">
        <v>6538</v>
      </c>
      <c r="E10" t="s">
        <v>370</v>
      </c>
    </row>
    <row r="11" spans="1:5" hidden="1" x14ac:dyDescent="0.25">
      <c r="A11">
        <v>180121</v>
      </c>
      <c r="B11" t="s">
        <v>164</v>
      </c>
      <c r="C11" t="s">
        <v>371</v>
      </c>
      <c r="D11">
        <v>6583</v>
      </c>
      <c r="E11" t="s">
        <v>370</v>
      </c>
    </row>
    <row r="12" spans="1:5" hidden="1" x14ac:dyDescent="0.25">
      <c r="A12">
        <v>180118</v>
      </c>
      <c r="B12" t="s">
        <v>94</v>
      </c>
      <c r="C12" t="s">
        <v>374</v>
      </c>
      <c r="D12">
        <v>6577</v>
      </c>
      <c r="E12" t="s">
        <v>370</v>
      </c>
    </row>
    <row r="13" spans="1:5" hidden="1" x14ac:dyDescent="0.25">
      <c r="A13">
        <v>180109</v>
      </c>
      <c r="B13" t="s">
        <v>179</v>
      </c>
      <c r="C13" t="s">
        <v>375</v>
      </c>
      <c r="D13">
        <v>6556</v>
      </c>
      <c r="E13" t="s">
        <v>370</v>
      </c>
    </row>
    <row r="14" spans="1:5" hidden="1" x14ac:dyDescent="0.25">
      <c r="A14">
        <v>180193</v>
      </c>
      <c r="B14" t="s">
        <v>14</v>
      </c>
      <c r="C14" t="s">
        <v>376</v>
      </c>
      <c r="D14">
        <v>6741</v>
      </c>
      <c r="E14" t="s">
        <v>370</v>
      </c>
    </row>
    <row r="15" spans="1:5" hidden="1" x14ac:dyDescent="0.25">
      <c r="A15">
        <v>180808</v>
      </c>
      <c r="B15" t="s">
        <v>22</v>
      </c>
      <c r="C15" t="s">
        <v>374</v>
      </c>
      <c r="D15">
        <v>7167</v>
      </c>
      <c r="E15" t="s">
        <v>370</v>
      </c>
    </row>
    <row r="16" spans="1:5" hidden="1" x14ac:dyDescent="0.25">
      <c r="A16">
        <v>180815</v>
      </c>
      <c r="B16" t="s">
        <v>17</v>
      </c>
      <c r="C16" t="s">
        <v>368</v>
      </c>
      <c r="D16">
        <v>7184</v>
      </c>
      <c r="E16" t="s">
        <v>370</v>
      </c>
    </row>
    <row r="17" spans="1:5" hidden="1" x14ac:dyDescent="0.25">
      <c r="A17">
        <v>180799</v>
      </c>
      <c r="B17" t="s">
        <v>172</v>
      </c>
      <c r="C17" t="s">
        <v>368</v>
      </c>
      <c r="D17">
        <v>7144</v>
      </c>
      <c r="E17" t="s">
        <v>370</v>
      </c>
    </row>
    <row r="18" spans="1:5" hidden="1" x14ac:dyDescent="0.25">
      <c r="A18">
        <v>180863</v>
      </c>
      <c r="B18" t="s">
        <v>93</v>
      </c>
      <c r="C18" t="s">
        <v>375</v>
      </c>
      <c r="D18">
        <v>7265</v>
      </c>
      <c r="E18" t="s">
        <v>370</v>
      </c>
    </row>
    <row r="19" spans="1:5" hidden="1" x14ac:dyDescent="0.25">
      <c r="A19">
        <v>180180</v>
      </c>
      <c r="B19" t="s">
        <v>10</v>
      </c>
      <c r="C19" t="s">
        <v>372</v>
      </c>
      <c r="D19">
        <v>6720</v>
      </c>
      <c r="E19" t="s">
        <v>370</v>
      </c>
    </row>
    <row r="20" spans="1:5" hidden="1" x14ac:dyDescent="0.25">
      <c r="A20">
        <v>181048</v>
      </c>
      <c r="B20" t="s">
        <v>193</v>
      </c>
      <c r="C20" t="s">
        <v>368</v>
      </c>
      <c r="D20">
        <v>7674</v>
      </c>
      <c r="E20" t="s">
        <v>370</v>
      </c>
    </row>
    <row r="21" spans="1:5" hidden="1" x14ac:dyDescent="0.25">
      <c r="A21">
        <v>180782</v>
      </c>
      <c r="B21" t="s">
        <v>109</v>
      </c>
      <c r="C21" t="s">
        <v>375</v>
      </c>
      <c r="D21">
        <v>7094</v>
      </c>
      <c r="E21" t="s">
        <v>370</v>
      </c>
    </row>
    <row r="22" spans="1:5" hidden="1" x14ac:dyDescent="0.25">
      <c r="A22">
        <v>180080</v>
      </c>
      <c r="B22" t="s">
        <v>47</v>
      </c>
      <c r="C22" t="s">
        <v>369</v>
      </c>
      <c r="D22">
        <v>6511</v>
      </c>
      <c r="E22" t="s">
        <v>370</v>
      </c>
    </row>
    <row r="23" spans="1:5" hidden="1" x14ac:dyDescent="0.25">
      <c r="A23">
        <v>181246</v>
      </c>
      <c r="B23" t="s">
        <v>12</v>
      </c>
      <c r="C23" t="s">
        <v>377</v>
      </c>
      <c r="D23">
        <v>7246</v>
      </c>
      <c r="E23" t="s">
        <v>287</v>
      </c>
    </row>
    <row r="24" spans="1:5" hidden="1" x14ac:dyDescent="0.25">
      <c r="A24">
        <v>101134</v>
      </c>
      <c r="B24" t="s">
        <v>82</v>
      </c>
      <c r="C24" t="s">
        <v>378</v>
      </c>
      <c r="D24">
        <v>4577</v>
      </c>
      <c r="E24" t="s">
        <v>288</v>
      </c>
    </row>
    <row r="25" spans="1:5" hidden="1" x14ac:dyDescent="0.25">
      <c r="A25">
        <v>122191</v>
      </c>
      <c r="B25" t="s">
        <v>138</v>
      </c>
      <c r="C25" t="s">
        <v>373</v>
      </c>
      <c r="D25">
        <v>4833</v>
      </c>
      <c r="E25" t="s">
        <v>288</v>
      </c>
    </row>
    <row r="26" spans="1:5" hidden="1" x14ac:dyDescent="0.25">
      <c r="A26">
        <v>122254</v>
      </c>
      <c r="B26" t="s">
        <v>5</v>
      </c>
      <c r="C26" t="s">
        <v>373</v>
      </c>
      <c r="D26">
        <v>4992</v>
      </c>
      <c r="E26" t="s">
        <v>288</v>
      </c>
    </row>
    <row r="27" spans="1:5" hidden="1" x14ac:dyDescent="0.25">
      <c r="A27">
        <v>101086</v>
      </c>
      <c r="B27" t="s">
        <v>7</v>
      </c>
      <c r="C27" t="s">
        <v>380</v>
      </c>
      <c r="D27">
        <v>4431</v>
      </c>
      <c r="E27" t="s">
        <v>288</v>
      </c>
    </row>
    <row r="28" spans="1:5" hidden="1" x14ac:dyDescent="0.25">
      <c r="A28">
        <v>122348</v>
      </c>
      <c r="B28" t="s">
        <v>55</v>
      </c>
      <c r="C28" t="s">
        <v>378</v>
      </c>
      <c r="D28">
        <v>5202</v>
      </c>
      <c r="E28" t="s">
        <v>288</v>
      </c>
    </row>
    <row r="29" spans="1:5" hidden="1" x14ac:dyDescent="0.25">
      <c r="A29">
        <v>181081</v>
      </c>
      <c r="B29" t="s">
        <v>194</v>
      </c>
      <c r="C29" t="s">
        <v>379</v>
      </c>
      <c r="D29">
        <v>7751</v>
      </c>
      <c r="E29" t="s">
        <v>288</v>
      </c>
    </row>
    <row r="30" spans="1:5" hidden="1" x14ac:dyDescent="0.25">
      <c r="A30">
        <v>180726</v>
      </c>
      <c r="B30" t="s">
        <v>176</v>
      </c>
      <c r="C30" t="s">
        <v>368</v>
      </c>
      <c r="D30">
        <v>6980</v>
      </c>
      <c r="E30" t="s">
        <v>288</v>
      </c>
    </row>
    <row r="31" spans="1:5" hidden="1" x14ac:dyDescent="0.25">
      <c r="A31">
        <v>122573</v>
      </c>
      <c r="B31" t="s">
        <v>83</v>
      </c>
      <c r="C31" t="s">
        <v>378</v>
      </c>
      <c r="D31">
        <v>5903</v>
      </c>
      <c r="E31" t="s">
        <v>288</v>
      </c>
    </row>
    <row r="32" spans="1:5" hidden="1" x14ac:dyDescent="0.25">
      <c r="A32">
        <v>150018</v>
      </c>
      <c r="B32" t="s">
        <v>53</v>
      </c>
      <c r="C32" t="s">
        <v>378</v>
      </c>
      <c r="D32">
        <v>6310</v>
      </c>
      <c r="E32" t="s">
        <v>288</v>
      </c>
    </row>
    <row r="33" spans="1:5" hidden="1" x14ac:dyDescent="0.25">
      <c r="A33">
        <v>180046</v>
      </c>
      <c r="B33" t="s">
        <v>8</v>
      </c>
      <c r="C33" t="s">
        <v>378</v>
      </c>
      <c r="D33">
        <v>6433</v>
      </c>
      <c r="E33" t="s">
        <v>288</v>
      </c>
    </row>
    <row r="34" spans="1:5" hidden="1" x14ac:dyDescent="0.25">
      <c r="A34">
        <v>122545</v>
      </c>
      <c r="B34" t="s">
        <v>11</v>
      </c>
      <c r="C34" t="s">
        <v>378</v>
      </c>
      <c r="D34">
        <v>5834</v>
      </c>
      <c r="E34" t="s">
        <v>288</v>
      </c>
    </row>
    <row r="35" spans="1:5" hidden="1" x14ac:dyDescent="0.25">
      <c r="A35">
        <v>180992</v>
      </c>
      <c r="B35" t="s">
        <v>75</v>
      </c>
      <c r="C35" t="s">
        <v>378</v>
      </c>
      <c r="D35">
        <v>7570</v>
      </c>
      <c r="E35" t="s">
        <v>288</v>
      </c>
    </row>
    <row r="36" spans="1:5" hidden="1" x14ac:dyDescent="0.25">
      <c r="A36">
        <v>180177</v>
      </c>
      <c r="B36" t="s">
        <v>67</v>
      </c>
      <c r="C36" t="s">
        <v>378</v>
      </c>
      <c r="D36">
        <v>6709</v>
      </c>
      <c r="E36" t="s">
        <v>288</v>
      </c>
    </row>
    <row r="37" spans="1:5" hidden="1" x14ac:dyDescent="0.25">
      <c r="A37">
        <v>180279</v>
      </c>
      <c r="B37" t="s">
        <v>61</v>
      </c>
      <c r="C37" t="s">
        <v>378</v>
      </c>
      <c r="D37">
        <v>6891</v>
      </c>
      <c r="E37" t="s">
        <v>288</v>
      </c>
    </row>
    <row r="38" spans="1:5" hidden="1" x14ac:dyDescent="0.25">
      <c r="A38">
        <v>122670</v>
      </c>
      <c r="B38" t="s">
        <v>137</v>
      </c>
      <c r="C38" t="s">
        <v>378</v>
      </c>
      <c r="D38">
        <v>6156</v>
      </c>
      <c r="E38" t="s">
        <v>288</v>
      </c>
    </row>
    <row r="39" spans="1:5" hidden="1" x14ac:dyDescent="0.25">
      <c r="A39">
        <v>181075</v>
      </c>
      <c r="B39" t="s">
        <v>195</v>
      </c>
      <c r="C39" t="s">
        <v>379</v>
      </c>
      <c r="D39">
        <v>7745</v>
      </c>
      <c r="E39" t="s">
        <v>288</v>
      </c>
    </row>
    <row r="40" spans="1:5" hidden="1" x14ac:dyDescent="0.25">
      <c r="A40">
        <v>181091</v>
      </c>
      <c r="B40" t="s">
        <v>196</v>
      </c>
      <c r="C40" t="s">
        <v>379</v>
      </c>
      <c r="D40">
        <v>7704</v>
      </c>
      <c r="E40" t="s">
        <v>288</v>
      </c>
    </row>
    <row r="41" spans="1:5" hidden="1" x14ac:dyDescent="0.25">
      <c r="A41">
        <v>181144</v>
      </c>
      <c r="B41" t="s">
        <v>197</v>
      </c>
      <c r="C41" t="s">
        <v>379</v>
      </c>
      <c r="D41">
        <v>7859</v>
      </c>
      <c r="E41" t="s">
        <v>288</v>
      </c>
    </row>
    <row r="42" spans="1:5" hidden="1" x14ac:dyDescent="0.25">
      <c r="A42">
        <v>181193</v>
      </c>
      <c r="B42" t="s">
        <v>198</v>
      </c>
      <c r="C42" t="s">
        <v>379</v>
      </c>
      <c r="D42">
        <v>7930</v>
      </c>
      <c r="E42" t="s">
        <v>288</v>
      </c>
    </row>
    <row r="43" spans="1:5" hidden="1" x14ac:dyDescent="0.25">
      <c r="A43">
        <v>1566</v>
      </c>
      <c r="B43" t="s">
        <v>162</v>
      </c>
      <c r="C43" t="s">
        <v>380</v>
      </c>
      <c r="D43">
        <v>11</v>
      </c>
      <c r="E43" t="s">
        <v>289</v>
      </c>
    </row>
    <row r="44" spans="1:5" hidden="1" x14ac:dyDescent="0.25">
      <c r="A44">
        <v>70005</v>
      </c>
      <c r="B44" t="s">
        <v>33</v>
      </c>
      <c r="C44" t="s">
        <v>373</v>
      </c>
      <c r="D44">
        <v>1559</v>
      </c>
      <c r="E44" t="s">
        <v>289</v>
      </c>
    </row>
    <row r="45" spans="1:5" hidden="1" x14ac:dyDescent="0.25">
      <c r="A45">
        <v>100078</v>
      </c>
      <c r="B45" t="s">
        <v>142</v>
      </c>
      <c r="C45" t="s">
        <v>380</v>
      </c>
      <c r="D45">
        <v>2533</v>
      </c>
      <c r="E45" t="s">
        <v>289</v>
      </c>
    </row>
    <row r="46" spans="1:5" hidden="1" x14ac:dyDescent="0.25">
      <c r="A46">
        <v>100308</v>
      </c>
      <c r="B46" t="s">
        <v>97</v>
      </c>
      <c r="C46" t="s">
        <v>378</v>
      </c>
      <c r="D46">
        <v>2943</v>
      </c>
      <c r="E46" t="s">
        <v>289</v>
      </c>
    </row>
    <row r="47" spans="1:5" hidden="1" x14ac:dyDescent="0.25">
      <c r="A47">
        <v>100277</v>
      </c>
      <c r="B47" t="s">
        <v>69</v>
      </c>
      <c r="C47" t="s">
        <v>378</v>
      </c>
      <c r="D47">
        <v>2896</v>
      </c>
      <c r="E47" t="s">
        <v>289</v>
      </c>
    </row>
    <row r="48" spans="1:5" hidden="1" x14ac:dyDescent="0.25">
      <c r="A48">
        <v>122394</v>
      </c>
      <c r="B48" t="s">
        <v>88</v>
      </c>
      <c r="C48" t="s">
        <v>373</v>
      </c>
      <c r="D48">
        <v>5391</v>
      </c>
      <c r="E48" t="s">
        <v>289</v>
      </c>
    </row>
    <row r="49" spans="1:5" hidden="1" x14ac:dyDescent="0.25">
      <c r="A49">
        <v>122473</v>
      </c>
      <c r="B49" t="s">
        <v>2</v>
      </c>
      <c r="C49" t="s">
        <v>373</v>
      </c>
      <c r="D49">
        <v>5593</v>
      </c>
      <c r="E49" t="s">
        <v>289</v>
      </c>
    </row>
    <row r="50" spans="1:5" hidden="1" x14ac:dyDescent="0.25">
      <c r="A50">
        <v>122520</v>
      </c>
      <c r="B50" t="s">
        <v>136</v>
      </c>
      <c r="C50" t="s">
        <v>373</v>
      </c>
      <c r="D50">
        <v>5746</v>
      </c>
      <c r="E50" t="s">
        <v>289</v>
      </c>
    </row>
    <row r="51" spans="1:5" hidden="1" x14ac:dyDescent="0.25">
      <c r="A51">
        <v>180266</v>
      </c>
      <c r="B51" t="s">
        <v>1</v>
      </c>
      <c r="C51" t="s">
        <v>378</v>
      </c>
      <c r="D51">
        <v>6862</v>
      </c>
      <c r="E51" t="s">
        <v>289</v>
      </c>
    </row>
    <row r="52" spans="1:5" hidden="1" x14ac:dyDescent="0.25">
      <c r="A52">
        <v>122606</v>
      </c>
      <c r="B52" t="s">
        <v>150</v>
      </c>
      <c r="C52" t="s">
        <v>373</v>
      </c>
      <c r="D52">
        <v>5980</v>
      </c>
      <c r="E52" t="s">
        <v>289</v>
      </c>
    </row>
    <row r="53" spans="1:5" hidden="1" x14ac:dyDescent="0.25">
      <c r="A53">
        <v>122313</v>
      </c>
      <c r="B53" t="s">
        <v>122</v>
      </c>
      <c r="C53" t="s">
        <v>371</v>
      </c>
      <c r="D53">
        <v>5113</v>
      </c>
      <c r="E53" t="s">
        <v>381</v>
      </c>
    </row>
    <row r="54" spans="1:5" hidden="1" x14ac:dyDescent="0.25">
      <c r="A54">
        <v>122276</v>
      </c>
      <c r="B54" t="s">
        <v>4</v>
      </c>
      <c r="C54" t="s">
        <v>378</v>
      </c>
      <c r="D54">
        <v>5027</v>
      </c>
      <c r="E54" t="s">
        <v>381</v>
      </c>
    </row>
    <row r="55" spans="1:5" hidden="1" x14ac:dyDescent="0.25">
      <c r="A55">
        <v>180091</v>
      </c>
      <c r="B55" t="s">
        <v>161</v>
      </c>
      <c r="C55" t="s">
        <v>382</v>
      </c>
      <c r="D55">
        <v>6530</v>
      </c>
      <c r="E55" t="s">
        <v>381</v>
      </c>
    </row>
    <row r="56" spans="1:5" hidden="1" x14ac:dyDescent="0.25">
      <c r="A56">
        <v>181104</v>
      </c>
      <c r="B56" t="s">
        <v>199</v>
      </c>
      <c r="C56" t="s">
        <v>379</v>
      </c>
      <c r="D56">
        <v>7102</v>
      </c>
      <c r="E56" t="s">
        <v>290</v>
      </c>
    </row>
    <row r="57" spans="1:5" hidden="1" x14ac:dyDescent="0.25">
      <c r="A57">
        <v>181062</v>
      </c>
      <c r="B57" t="s">
        <v>200</v>
      </c>
      <c r="C57" t="s">
        <v>379</v>
      </c>
      <c r="D57">
        <v>7688</v>
      </c>
      <c r="E57" t="s">
        <v>291</v>
      </c>
    </row>
    <row r="58" spans="1:5" hidden="1" x14ac:dyDescent="0.25">
      <c r="A58">
        <v>181277</v>
      </c>
      <c r="B58" t="s">
        <v>292</v>
      </c>
      <c r="C58" t="s">
        <v>378</v>
      </c>
      <c r="D58">
        <v>8060</v>
      </c>
      <c r="E58" t="s">
        <v>291</v>
      </c>
    </row>
    <row r="59" spans="1:5" hidden="1" x14ac:dyDescent="0.25">
      <c r="A59">
        <v>180889</v>
      </c>
      <c r="B59" t="s">
        <v>70</v>
      </c>
      <c r="C59" t="s">
        <v>375</v>
      </c>
      <c r="D59">
        <v>7315</v>
      </c>
      <c r="E59" t="s">
        <v>383</v>
      </c>
    </row>
    <row r="60" spans="1:5" hidden="1" x14ac:dyDescent="0.25">
      <c r="A60">
        <v>122716</v>
      </c>
      <c r="B60" t="s">
        <v>102</v>
      </c>
      <c r="C60" t="s">
        <v>375</v>
      </c>
      <c r="D60">
        <v>6260</v>
      </c>
      <c r="E60" t="s">
        <v>383</v>
      </c>
    </row>
    <row r="61" spans="1:5" hidden="1" x14ac:dyDescent="0.25">
      <c r="A61">
        <v>180764</v>
      </c>
      <c r="B61" t="s">
        <v>125</v>
      </c>
      <c r="C61" t="s">
        <v>371</v>
      </c>
      <c r="D61">
        <v>7057</v>
      </c>
      <c r="E61" t="s">
        <v>383</v>
      </c>
    </row>
    <row r="62" spans="1:5" hidden="1" x14ac:dyDescent="0.25">
      <c r="A62">
        <v>180917</v>
      </c>
      <c r="B62" t="s">
        <v>119</v>
      </c>
      <c r="C62" t="s">
        <v>375</v>
      </c>
      <c r="D62">
        <v>7408</v>
      </c>
      <c r="E62" t="s">
        <v>383</v>
      </c>
    </row>
    <row r="63" spans="1:5" hidden="1" x14ac:dyDescent="0.25">
      <c r="A63">
        <v>180906</v>
      </c>
      <c r="B63" t="s">
        <v>153</v>
      </c>
      <c r="C63" t="s">
        <v>375</v>
      </c>
      <c r="D63">
        <v>7376</v>
      </c>
      <c r="E63" t="s">
        <v>383</v>
      </c>
    </row>
    <row r="64" spans="1:5" hidden="1" x14ac:dyDescent="0.25">
      <c r="A64">
        <v>180919</v>
      </c>
      <c r="B64" t="s">
        <v>117</v>
      </c>
      <c r="C64" t="s">
        <v>375</v>
      </c>
      <c r="D64">
        <v>7414</v>
      </c>
      <c r="E64" t="s">
        <v>383</v>
      </c>
    </row>
    <row r="65" spans="1:5" hidden="1" x14ac:dyDescent="0.25">
      <c r="A65">
        <v>180920</v>
      </c>
      <c r="B65" t="s">
        <v>100</v>
      </c>
      <c r="C65" t="s">
        <v>375</v>
      </c>
      <c r="D65">
        <v>7415</v>
      </c>
      <c r="E65" t="s">
        <v>383</v>
      </c>
    </row>
    <row r="66" spans="1:5" hidden="1" x14ac:dyDescent="0.25">
      <c r="A66">
        <v>180774</v>
      </c>
      <c r="B66" t="s">
        <v>171</v>
      </c>
      <c r="C66" t="s">
        <v>375</v>
      </c>
      <c r="D66">
        <v>7080</v>
      </c>
      <c r="E66" t="s">
        <v>383</v>
      </c>
    </row>
    <row r="67" spans="1:5" x14ac:dyDescent="0.25">
      <c r="A67">
        <v>180221</v>
      </c>
      <c r="B67" t="s">
        <v>159</v>
      </c>
      <c r="C67" t="s">
        <v>371</v>
      </c>
      <c r="D67">
        <v>6779</v>
      </c>
      <c r="E67" t="s">
        <v>383</v>
      </c>
    </row>
    <row r="68" spans="1:5" hidden="1" x14ac:dyDescent="0.25">
      <c r="A68">
        <v>100001</v>
      </c>
      <c r="B68" t="s">
        <v>201</v>
      </c>
      <c r="C68" t="s">
        <v>374</v>
      </c>
      <c r="D68">
        <v>22</v>
      </c>
      <c r="E68" t="s">
        <v>384</v>
      </c>
    </row>
    <row r="69" spans="1:5" hidden="1" x14ac:dyDescent="0.25">
      <c r="A69">
        <v>101008</v>
      </c>
      <c r="B69" t="s">
        <v>202</v>
      </c>
      <c r="C69" t="s">
        <v>374</v>
      </c>
      <c r="D69">
        <v>4</v>
      </c>
      <c r="E69" t="s">
        <v>384</v>
      </c>
    </row>
    <row r="70" spans="1:5" hidden="1" x14ac:dyDescent="0.25">
      <c r="A70">
        <v>101009</v>
      </c>
      <c r="B70" t="s">
        <v>203</v>
      </c>
      <c r="C70" t="s">
        <v>374</v>
      </c>
      <c r="D70">
        <v>5</v>
      </c>
      <c r="E70" t="s">
        <v>384</v>
      </c>
    </row>
    <row r="71" spans="1:5" hidden="1" x14ac:dyDescent="0.25">
      <c r="A71">
        <v>101010</v>
      </c>
      <c r="B71" t="s">
        <v>204</v>
      </c>
      <c r="C71" t="s">
        <v>374</v>
      </c>
      <c r="D71">
        <v>6</v>
      </c>
      <c r="E71" t="s">
        <v>384</v>
      </c>
    </row>
    <row r="72" spans="1:5" hidden="1" x14ac:dyDescent="0.25">
      <c r="A72">
        <v>101011</v>
      </c>
      <c r="B72" t="s">
        <v>205</v>
      </c>
      <c r="C72" t="s">
        <v>374</v>
      </c>
      <c r="D72">
        <v>7</v>
      </c>
      <c r="E72" t="s">
        <v>384</v>
      </c>
    </row>
    <row r="73" spans="1:5" hidden="1" x14ac:dyDescent="0.25">
      <c r="A73">
        <v>101012</v>
      </c>
      <c r="B73" t="s">
        <v>206</v>
      </c>
      <c r="C73" t="s">
        <v>374</v>
      </c>
      <c r="D73">
        <v>8</v>
      </c>
      <c r="E73" t="s">
        <v>384</v>
      </c>
    </row>
    <row r="74" spans="1:5" hidden="1" x14ac:dyDescent="0.25">
      <c r="A74">
        <v>101014</v>
      </c>
      <c r="B74" t="s">
        <v>207</v>
      </c>
      <c r="C74" t="s">
        <v>374</v>
      </c>
      <c r="D74">
        <v>10</v>
      </c>
      <c r="E74" t="s">
        <v>384</v>
      </c>
    </row>
    <row r="75" spans="1:5" hidden="1" x14ac:dyDescent="0.25">
      <c r="A75">
        <v>181068</v>
      </c>
      <c r="B75" t="s">
        <v>208</v>
      </c>
      <c r="C75" t="s">
        <v>379</v>
      </c>
      <c r="D75">
        <v>7738</v>
      </c>
      <c r="E75" t="s">
        <v>384</v>
      </c>
    </row>
    <row r="76" spans="1:5" hidden="1" x14ac:dyDescent="0.25">
      <c r="A76">
        <v>181076</v>
      </c>
      <c r="B76" t="s">
        <v>209</v>
      </c>
      <c r="C76" t="s">
        <v>379</v>
      </c>
      <c r="D76">
        <v>7746</v>
      </c>
      <c r="E76" t="s">
        <v>384</v>
      </c>
    </row>
    <row r="77" spans="1:5" hidden="1" x14ac:dyDescent="0.25">
      <c r="A77">
        <v>180975</v>
      </c>
      <c r="B77" t="s">
        <v>210</v>
      </c>
      <c r="C77" t="s">
        <v>379</v>
      </c>
      <c r="D77">
        <v>7533</v>
      </c>
      <c r="E77" t="s">
        <v>384</v>
      </c>
    </row>
    <row r="78" spans="1:5" hidden="1" x14ac:dyDescent="0.25">
      <c r="A78">
        <v>181060</v>
      </c>
      <c r="B78" t="s">
        <v>211</v>
      </c>
      <c r="C78" t="s">
        <v>379</v>
      </c>
      <c r="D78">
        <v>7685</v>
      </c>
      <c r="E78" t="s">
        <v>384</v>
      </c>
    </row>
    <row r="79" spans="1:5" hidden="1" x14ac:dyDescent="0.25">
      <c r="A79">
        <v>181061</v>
      </c>
      <c r="B79" t="s">
        <v>212</v>
      </c>
      <c r="C79" t="s">
        <v>379</v>
      </c>
      <c r="D79">
        <v>7652</v>
      </c>
      <c r="E79" t="s">
        <v>384</v>
      </c>
    </row>
    <row r="80" spans="1:5" hidden="1" x14ac:dyDescent="0.25">
      <c r="A80">
        <v>180978</v>
      </c>
      <c r="B80" t="s">
        <v>213</v>
      </c>
      <c r="C80" t="s">
        <v>379</v>
      </c>
      <c r="D80">
        <v>7518</v>
      </c>
      <c r="E80" t="s">
        <v>384</v>
      </c>
    </row>
    <row r="81" spans="1:5" hidden="1" x14ac:dyDescent="0.25">
      <c r="A81">
        <v>181069</v>
      </c>
      <c r="B81" t="s">
        <v>214</v>
      </c>
      <c r="C81" t="s">
        <v>379</v>
      </c>
      <c r="D81">
        <v>7739</v>
      </c>
      <c r="E81" t="s">
        <v>384</v>
      </c>
    </row>
    <row r="82" spans="1:5" hidden="1" x14ac:dyDescent="0.25">
      <c r="A82">
        <v>101013</v>
      </c>
      <c r="B82" t="s">
        <v>215</v>
      </c>
      <c r="C82" t="s">
        <v>374</v>
      </c>
      <c r="D82">
        <v>9</v>
      </c>
      <c r="E82" t="s">
        <v>384</v>
      </c>
    </row>
    <row r="83" spans="1:5" hidden="1" x14ac:dyDescent="0.25">
      <c r="A83">
        <v>181079</v>
      </c>
      <c r="B83" t="s">
        <v>216</v>
      </c>
      <c r="C83" t="s">
        <v>379</v>
      </c>
      <c r="D83">
        <v>7749</v>
      </c>
      <c r="E83" t="s">
        <v>384</v>
      </c>
    </row>
    <row r="84" spans="1:5" hidden="1" x14ac:dyDescent="0.25">
      <c r="A84">
        <v>181084</v>
      </c>
      <c r="B84" t="s">
        <v>217</v>
      </c>
      <c r="C84" t="s">
        <v>379</v>
      </c>
      <c r="D84">
        <v>7732</v>
      </c>
      <c r="E84" t="s">
        <v>384</v>
      </c>
    </row>
    <row r="85" spans="1:5" hidden="1" x14ac:dyDescent="0.25">
      <c r="A85">
        <v>181088</v>
      </c>
      <c r="B85" t="s">
        <v>218</v>
      </c>
      <c r="C85" t="s">
        <v>379</v>
      </c>
      <c r="D85">
        <v>7728</v>
      </c>
      <c r="E85" t="s">
        <v>384</v>
      </c>
    </row>
    <row r="86" spans="1:5" hidden="1" x14ac:dyDescent="0.25">
      <c r="A86">
        <v>181059</v>
      </c>
      <c r="B86" t="s">
        <v>219</v>
      </c>
      <c r="C86" t="s">
        <v>379</v>
      </c>
      <c r="D86">
        <v>7686</v>
      </c>
      <c r="E86" t="s">
        <v>384</v>
      </c>
    </row>
    <row r="87" spans="1:5" hidden="1" x14ac:dyDescent="0.25">
      <c r="A87">
        <v>181118</v>
      </c>
      <c r="B87" t="s">
        <v>220</v>
      </c>
      <c r="C87" t="s">
        <v>379</v>
      </c>
      <c r="D87">
        <v>7802</v>
      </c>
      <c r="E87" t="s">
        <v>384</v>
      </c>
    </row>
    <row r="88" spans="1:5" hidden="1" x14ac:dyDescent="0.25">
      <c r="A88">
        <v>181067</v>
      </c>
      <c r="B88" t="s">
        <v>221</v>
      </c>
      <c r="C88" t="s">
        <v>379</v>
      </c>
      <c r="D88">
        <v>7737</v>
      </c>
      <c r="E88" t="s">
        <v>384</v>
      </c>
    </row>
    <row r="89" spans="1:5" hidden="1" x14ac:dyDescent="0.25">
      <c r="A89">
        <v>181114</v>
      </c>
      <c r="B89" t="s">
        <v>222</v>
      </c>
      <c r="C89" t="s">
        <v>379</v>
      </c>
      <c r="D89">
        <v>7798</v>
      </c>
      <c r="E89" t="s">
        <v>384</v>
      </c>
    </row>
    <row r="90" spans="1:5" hidden="1" x14ac:dyDescent="0.25">
      <c r="A90">
        <v>180973</v>
      </c>
      <c r="B90" t="s">
        <v>223</v>
      </c>
      <c r="C90" t="s">
        <v>379</v>
      </c>
      <c r="D90">
        <v>7497</v>
      </c>
      <c r="E90" t="s">
        <v>384</v>
      </c>
    </row>
    <row r="91" spans="1:5" hidden="1" x14ac:dyDescent="0.25">
      <c r="A91">
        <v>181073</v>
      </c>
      <c r="B91" t="s">
        <v>224</v>
      </c>
      <c r="C91" t="s">
        <v>379</v>
      </c>
      <c r="D91">
        <v>7743</v>
      </c>
      <c r="E91" t="s">
        <v>384</v>
      </c>
    </row>
    <row r="92" spans="1:5" hidden="1" x14ac:dyDescent="0.25">
      <c r="A92">
        <v>181078</v>
      </c>
      <c r="B92" t="s">
        <v>225</v>
      </c>
      <c r="C92" t="s">
        <v>379</v>
      </c>
      <c r="D92">
        <v>7748</v>
      </c>
      <c r="E92" t="s">
        <v>384</v>
      </c>
    </row>
    <row r="93" spans="1:5" hidden="1" x14ac:dyDescent="0.25">
      <c r="A93">
        <v>181028</v>
      </c>
      <c r="B93" t="s">
        <v>226</v>
      </c>
      <c r="C93" t="s">
        <v>379</v>
      </c>
      <c r="D93">
        <v>7639</v>
      </c>
      <c r="E93" t="s">
        <v>384</v>
      </c>
    </row>
    <row r="94" spans="1:5" hidden="1" x14ac:dyDescent="0.25">
      <c r="A94">
        <v>181029</v>
      </c>
      <c r="B94" t="s">
        <v>227</v>
      </c>
      <c r="C94" t="s">
        <v>379</v>
      </c>
      <c r="D94">
        <v>7642</v>
      </c>
      <c r="E94" t="s">
        <v>384</v>
      </c>
    </row>
    <row r="95" spans="1:5" hidden="1" x14ac:dyDescent="0.25">
      <c r="A95">
        <v>181101</v>
      </c>
      <c r="B95" t="s">
        <v>228</v>
      </c>
      <c r="C95" t="s">
        <v>379</v>
      </c>
      <c r="D95">
        <v>7763</v>
      </c>
      <c r="E95" t="s">
        <v>384</v>
      </c>
    </row>
    <row r="96" spans="1:5" hidden="1" x14ac:dyDescent="0.25">
      <c r="A96">
        <v>181106</v>
      </c>
      <c r="B96" t="s">
        <v>229</v>
      </c>
      <c r="C96" t="s">
        <v>379</v>
      </c>
      <c r="D96">
        <v>7765</v>
      </c>
      <c r="E96" t="s">
        <v>384</v>
      </c>
    </row>
    <row r="97" spans="1:5" hidden="1" x14ac:dyDescent="0.25">
      <c r="A97">
        <v>181072</v>
      </c>
      <c r="B97" t="s">
        <v>230</v>
      </c>
      <c r="C97" t="s">
        <v>379</v>
      </c>
      <c r="D97">
        <v>7742</v>
      </c>
      <c r="E97" t="s">
        <v>384</v>
      </c>
    </row>
    <row r="98" spans="1:5" hidden="1" x14ac:dyDescent="0.25">
      <c r="A98">
        <v>181077</v>
      </c>
      <c r="B98" t="s">
        <v>231</v>
      </c>
      <c r="C98" t="s">
        <v>379</v>
      </c>
      <c r="D98">
        <v>7747</v>
      </c>
      <c r="E98" t="s">
        <v>384</v>
      </c>
    </row>
    <row r="99" spans="1:5" hidden="1" x14ac:dyDescent="0.25">
      <c r="A99">
        <v>181085</v>
      </c>
      <c r="B99" t="s">
        <v>232</v>
      </c>
      <c r="C99" t="s">
        <v>379</v>
      </c>
      <c r="D99">
        <v>7731</v>
      </c>
      <c r="E99" t="s">
        <v>384</v>
      </c>
    </row>
    <row r="100" spans="1:5" hidden="1" x14ac:dyDescent="0.25">
      <c r="A100">
        <v>181087</v>
      </c>
      <c r="B100" t="s">
        <v>233</v>
      </c>
      <c r="C100" t="s">
        <v>379</v>
      </c>
      <c r="D100">
        <v>7729</v>
      </c>
      <c r="E100" t="s">
        <v>384</v>
      </c>
    </row>
    <row r="101" spans="1:5" hidden="1" x14ac:dyDescent="0.25">
      <c r="A101">
        <v>181113</v>
      </c>
      <c r="B101" t="s">
        <v>234</v>
      </c>
      <c r="C101" t="s">
        <v>379</v>
      </c>
      <c r="D101">
        <v>7797</v>
      </c>
      <c r="E101" t="s">
        <v>384</v>
      </c>
    </row>
    <row r="102" spans="1:5" hidden="1" x14ac:dyDescent="0.25">
      <c r="A102">
        <v>181070</v>
      </c>
      <c r="B102" t="s">
        <v>235</v>
      </c>
      <c r="C102" t="s">
        <v>379</v>
      </c>
      <c r="D102">
        <v>7740</v>
      </c>
      <c r="E102" t="s">
        <v>384</v>
      </c>
    </row>
    <row r="103" spans="1:5" hidden="1" x14ac:dyDescent="0.25">
      <c r="A103">
        <v>180938</v>
      </c>
      <c r="B103" t="s">
        <v>116</v>
      </c>
      <c r="C103" t="s">
        <v>372</v>
      </c>
      <c r="D103">
        <v>7458</v>
      </c>
      <c r="E103" t="s">
        <v>384</v>
      </c>
    </row>
    <row r="104" spans="1:5" hidden="1" x14ac:dyDescent="0.25">
      <c r="A104">
        <v>181166</v>
      </c>
      <c r="B104" t="s">
        <v>236</v>
      </c>
      <c r="C104" t="s">
        <v>379</v>
      </c>
      <c r="D104">
        <v>7895</v>
      </c>
      <c r="E104" t="s">
        <v>384</v>
      </c>
    </row>
    <row r="105" spans="1:5" hidden="1" x14ac:dyDescent="0.25">
      <c r="A105">
        <v>181213</v>
      </c>
      <c r="B105" t="s">
        <v>385</v>
      </c>
      <c r="C105" t="s">
        <v>379</v>
      </c>
      <c r="D105">
        <v>7977</v>
      </c>
      <c r="E105" t="s">
        <v>384</v>
      </c>
    </row>
    <row r="106" spans="1:5" hidden="1" x14ac:dyDescent="0.25">
      <c r="A106">
        <v>181136</v>
      </c>
      <c r="B106" t="s">
        <v>237</v>
      </c>
      <c r="C106" t="s">
        <v>379</v>
      </c>
      <c r="D106">
        <v>7832</v>
      </c>
      <c r="E106" t="s">
        <v>384</v>
      </c>
    </row>
    <row r="107" spans="1:5" hidden="1" x14ac:dyDescent="0.25">
      <c r="A107">
        <v>181341</v>
      </c>
      <c r="B107" t="s">
        <v>415</v>
      </c>
      <c r="C107" t="s">
        <v>379</v>
      </c>
      <c r="D107">
        <v>8149</v>
      </c>
      <c r="E107" t="s">
        <v>384</v>
      </c>
    </row>
    <row r="108" spans="1:5" hidden="1" x14ac:dyDescent="0.25">
      <c r="A108">
        <v>181161</v>
      </c>
      <c r="B108" t="s">
        <v>238</v>
      </c>
      <c r="C108" t="s">
        <v>379</v>
      </c>
      <c r="D108">
        <v>7888</v>
      </c>
      <c r="E108" t="s">
        <v>384</v>
      </c>
    </row>
    <row r="109" spans="1:5" hidden="1" x14ac:dyDescent="0.25">
      <c r="A109">
        <v>181137</v>
      </c>
      <c r="B109" t="s">
        <v>239</v>
      </c>
      <c r="C109" t="s">
        <v>379</v>
      </c>
      <c r="D109">
        <v>7838</v>
      </c>
      <c r="E109" t="s">
        <v>384</v>
      </c>
    </row>
    <row r="110" spans="1:5" hidden="1" x14ac:dyDescent="0.25">
      <c r="A110">
        <v>181131</v>
      </c>
      <c r="B110" t="s">
        <v>86</v>
      </c>
      <c r="C110" t="s">
        <v>366</v>
      </c>
      <c r="D110">
        <v>7825</v>
      </c>
      <c r="E110" t="s">
        <v>384</v>
      </c>
    </row>
    <row r="111" spans="1:5" hidden="1" x14ac:dyDescent="0.25">
      <c r="A111">
        <v>181346</v>
      </c>
      <c r="B111" t="s">
        <v>416</v>
      </c>
      <c r="C111" t="s">
        <v>379</v>
      </c>
      <c r="D111">
        <v>8170</v>
      </c>
      <c r="E111" t="s">
        <v>384</v>
      </c>
    </row>
    <row r="112" spans="1:5" hidden="1" x14ac:dyDescent="0.25">
      <c r="A112">
        <v>181147</v>
      </c>
      <c r="B112" t="s">
        <v>240</v>
      </c>
      <c r="C112" t="s">
        <v>379</v>
      </c>
      <c r="D112">
        <v>7865</v>
      </c>
      <c r="E112" t="s">
        <v>384</v>
      </c>
    </row>
    <row r="113" spans="1:5" hidden="1" x14ac:dyDescent="0.25">
      <c r="A113">
        <v>181243</v>
      </c>
      <c r="B113" t="s">
        <v>386</v>
      </c>
      <c r="C113" t="s">
        <v>379</v>
      </c>
      <c r="D113">
        <v>8022</v>
      </c>
      <c r="E113" t="s">
        <v>384</v>
      </c>
    </row>
    <row r="114" spans="1:5" hidden="1" x14ac:dyDescent="0.25">
      <c r="A114">
        <v>181265</v>
      </c>
      <c r="B114" t="s">
        <v>387</v>
      </c>
      <c r="C114" t="s">
        <v>379</v>
      </c>
      <c r="D114">
        <v>8048</v>
      </c>
      <c r="E114" t="s">
        <v>384</v>
      </c>
    </row>
    <row r="115" spans="1:5" hidden="1" x14ac:dyDescent="0.25">
      <c r="A115">
        <v>181142</v>
      </c>
      <c r="B115" t="s">
        <v>241</v>
      </c>
      <c r="C115" t="s">
        <v>379</v>
      </c>
      <c r="D115">
        <v>7851</v>
      </c>
      <c r="E115" t="s">
        <v>384</v>
      </c>
    </row>
    <row r="116" spans="1:5" hidden="1" x14ac:dyDescent="0.25">
      <c r="A116">
        <v>181146</v>
      </c>
      <c r="B116" t="s">
        <v>242</v>
      </c>
      <c r="C116" t="s">
        <v>379</v>
      </c>
      <c r="D116">
        <v>7864</v>
      </c>
      <c r="E116" t="s">
        <v>384</v>
      </c>
    </row>
    <row r="117" spans="1:5" hidden="1" x14ac:dyDescent="0.25">
      <c r="A117">
        <v>181198</v>
      </c>
      <c r="B117" t="s">
        <v>243</v>
      </c>
      <c r="C117" t="s">
        <v>379</v>
      </c>
      <c r="D117">
        <v>7940</v>
      </c>
      <c r="E117" t="s">
        <v>384</v>
      </c>
    </row>
    <row r="118" spans="1:5" hidden="1" x14ac:dyDescent="0.25">
      <c r="A118">
        <v>181251</v>
      </c>
      <c r="B118" t="s">
        <v>388</v>
      </c>
      <c r="C118" t="s">
        <v>379</v>
      </c>
      <c r="D118">
        <v>8032</v>
      </c>
      <c r="E118" t="s">
        <v>384</v>
      </c>
    </row>
    <row r="119" spans="1:5" hidden="1" x14ac:dyDescent="0.25">
      <c r="A119">
        <v>181333</v>
      </c>
      <c r="B119" t="s">
        <v>417</v>
      </c>
      <c r="C119" t="s">
        <v>379</v>
      </c>
      <c r="D119">
        <v>8133</v>
      </c>
      <c r="E119" t="s">
        <v>384</v>
      </c>
    </row>
    <row r="120" spans="1:5" hidden="1" x14ac:dyDescent="0.25">
      <c r="A120">
        <v>181263</v>
      </c>
      <c r="B120" t="s">
        <v>389</v>
      </c>
      <c r="C120" t="s">
        <v>379</v>
      </c>
      <c r="D120">
        <v>8050</v>
      </c>
      <c r="E120" t="s">
        <v>384</v>
      </c>
    </row>
    <row r="121" spans="1:5" hidden="1" x14ac:dyDescent="0.25">
      <c r="A121">
        <v>181363</v>
      </c>
      <c r="B121" t="s">
        <v>418</v>
      </c>
      <c r="C121" t="s">
        <v>379</v>
      </c>
      <c r="D121">
        <v>8194</v>
      </c>
      <c r="E121" t="s">
        <v>384</v>
      </c>
    </row>
    <row r="122" spans="1:5" hidden="1" x14ac:dyDescent="0.25">
      <c r="A122">
        <v>181140</v>
      </c>
      <c r="B122" t="s">
        <v>244</v>
      </c>
      <c r="C122" t="s">
        <v>379</v>
      </c>
      <c r="D122">
        <v>7842</v>
      </c>
      <c r="E122" t="s">
        <v>384</v>
      </c>
    </row>
    <row r="123" spans="1:5" hidden="1" x14ac:dyDescent="0.25">
      <c r="A123">
        <v>181262</v>
      </c>
      <c r="B123" t="s">
        <v>390</v>
      </c>
      <c r="C123" t="s">
        <v>379</v>
      </c>
      <c r="D123">
        <v>8049</v>
      </c>
      <c r="E123" t="s">
        <v>384</v>
      </c>
    </row>
    <row r="124" spans="1:5" hidden="1" x14ac:dyDescent="0.25">
      <c r="A124">
        <v>181158</v>
      </c>
      <c r="B124" t="s">
        <v>245</v>
      </c>
      <c r="C124" t="s">
        <v>379</v>
      </c>
      <c r="D124">
        <v>7885</v>
      </c>
      <c r="E124" t="s">
        <v>384</v>
      </c>
    </row>
    <row r="125" spans="1:5" hidden="1" x14ac:dyDescent="0.25">
      <c r="A125">
        <v>181159</v>
      </c>
      <c r="B125" t="s">
        <v>246</v>
      </c>
      <c r="C125" t="s">
        <v>379</v>
      </c>
      <c r="D125">
        <v>7886</v>
      </c>
      <c r="E125" t="s">
        <v>384</v>
      </c>
    </row>
    <row r="126" spans="1:5" hidden="1" x14ac:dyDescent="0.25">
      <c r="A126">
        <v>181264</v>
      </c>
      <c r="B126" t="s">
        <v>391</v>
      </c>
      <c r="C126" t="s">
        <v>379</v>
      </c>
      <c r="D126">
        <v>8051</v>
      </c>
      <c r="E126" t="s">
        <v>384</v>
      </c>
    </row>
    <row r="127" spans="1:5" hidden="1" x14ac:dyDescent="0.25">
      <c r="A127">
        <v>181345</v>
      </c>
      <c r="B127" t="s">
        <v>419</v>
      </c>
      <c r="C127" t="s">
        <v>379</v>
      </c>
      <c r="D127">
        <v>8137</v>
      </c>
      <c r="E127" t="s">
        <v>384</v>
      </c>
    </row>
    <row r="128" spans="1:5" hidden="1" x14ac:dyDescent="0.25">
      <c r="A128">
        <v>181373</v>
      </c>
      <c r="B128" t="s">
        <v>420</v>
      </c>
      <c r="C128" t="s">
        <v>379</v>
      </c>
      <c r="D128">
        <v>8209</v>
      </c>
      <c r="E128" t="s">
        <v>384</v>
      </c>
    </row>
    <row r="129" spans="1:5" hidden="1" x14ac:dyDescent="0.25">
      <c r="A129">
        <v>181342</v>
      </c>
      <c r="B129" t="s">
        <v>421</v>
      </c>
      <c r="C129" t="s">
        <v>379</v>
      </c>
      <c r="D129">
        <v>8151</v>
      </c>
      <c r="E129" t="s">
        <v>384</v>
      </c>
    </row>
    <row r="130" spans="1:5" hidden="1" x14ac:dyDescent="0.25">
      <c r="A130">
        <v>181295</v>
      </c>
      <c r="B130" t="s">
        <v>392</v>
      </c>
      <c r="C130" t="s">
        <v>379</v>
      </c>
      <c r="D130">
        <v>8107</v>
      </c>
      <c r="E130" t="s">
        <v>384</v>
      </c>
    </row>
    <row r="131" spans="1:5" hidden="1" x14ac:dyDescent="0.25">
      <c r="A131">
        <v>181145</v>
      </c>
      <c r="B131" t="s">
        <v>247</v>
      </c>
      <c r="C131" t="s">
        <v>379</v>
      </c>
      <c r="D131">
        <v>7860</v>
      </c>
      <c r="E131" t="s">
        <v>384</v>
      </c>
    </row>
    <row r="132" spans="1:5" hidden="1" x14ac:dyDescent="0.25">
      <c r="A132">
        <v>181297</v>
      </c>
      <c r="B132" t="s">
        <v>393</v>
      </c>
      <c r="C132" t="s">
        <v>379</v>
      </c>
      <c r="D132">
        <v>8110</v>
      </c>
      <c r="E132" t="s">
        <v>384</v>
      </c>
    </row>
    <row r="133" spans="1:5" hidden="1" x14ac:dyDescent="0.25">
      <c r="A133">
        <v>181141</v>
      </c>
      <c r="B133" t="s">
        <v>248</v>
      </c>
      <c r="C133" t="s">
        <v>379</v>
      </c>
      <c r="D133">
        <v>7853</v>
      </c>
      <c r="E133" t="s">
        <v>384</v>
      </c>
    </row>
    <row r="134" spans="1:5" hidden="1" x14ac:dyDescent="0.25">
      <c r="A134">
        <v>181259</v>
      </c>
      <c r="B134" t="s">
        <v>394</v>
      </c>
      <c r="C134" t="s">
        <v>379</v>
      </c>
      <c r="D134">
        <v>8041</v>
      </c>
      <c r="E134" t="s">
        <v>384</v>
      </c>
    </row>
    <row r="135" spans="1:5" hidden="1" x14ac:dyDescent="0.25">
      <c r="A135">
        <v>181364</v>
      </c>
      <c r="B135" t="s">
        <v>422</v>
      </c>
      <c r="C135" t="s">
        <v>379</v>
      </c>
      <c r="D135">
        <v>8195</v>
      </c>
      <c r="E135" t="s">
        <v>384</v>
      </c>
    </row>
    <row r="136" spans="1:5" hidden="1" x14ac:dyDescent="0.25">
      <c r="A136">
        <v>101006</v>
      </c>
      <c r="B136" t="s">
        <v>249</v>
      </c>
      <c r="C136" t="s">
        <v>374</v>
      </c>
      <c r="D136">
        <v>4444</v>
      </c>
      <c r="E136" t="s">
        <v>293</v>
      </c>
    </row>
    <row r="137" spans="1:5" hidden="1" x14ac:dyDescent="0.25">
      <c r="A137">
        <v>101007</v>
      </c>
      <c r="B137" t="s">
        <v>250</v>
      </c>
      <c r="C137" t="s">
        <v>374</v>
      </c>
      <c r="D137">
        <v>3</v>
      </c>
      <c r="E137" t="s">
        <v>293</v>
      </c>
    </row>
    <row r="138" spans="1:5" hidden="1" x14ac:dyDescent="0.25">
      <c r="A138">
        <v>180020</v>
      </c>
      <c r="B138" t="s">
        <v>66</v>
      </c>
      <c r="C138" t="s">
        <v>366</v>
      </c>
      <c r="D138">
        <v>6368</v>
      </c>
      <c r="E138" t="s">
        <v>293</v>
      </c>
    </row>
    <row r="139" spans="1:5" hidden="1" x14ac:dyDescent="0.25">
      <c r="A139">
        <v>180023</v>
      </c>
      <c r="B139" t="s">
        <v>126</v>
      </c>
      <c r="C139" t="s">
        <v>366</v>
      </c>
      <c r="D139">
        <v>6374</v>
      </c>
      <c r="E139" t="s">
        <v>293</v>
      </c>
    </row>
    <row r="140" spans="1:5" hidden="1" x14ac:dyDescent="0.25">
      <c r="A140">
        <v>180746</v>
      </c>
      <c r="B140" t="s">
        <v>101</v>
      </c>
      <c r="C140" t="s">
        <v>373</v>
      </c>
      <c r="D140">
        <v>7022</v>
      </c>
      <c r="E140" t="s">
        <v>293</v>
      </c>
    </row>
    <row r="141" spans="1:5" hidden="1" x14ac:dyDescent="0.25">
      <c r="A141">
        <v>180748</v>
      </c>
      <c r="B141" t="s">
        <v>168</v>
      </c>
      <c r="C141" t="s">
        <v>378</v>
      </c>
      <c r="D141">
        <v>7024</v>
      </c>
      <c r="E141" t="s">
        <v>293</v>
      </c>
    </row>
    <row r="142" spans="1:5" hidden="1" x14ac:dyDescent="0.25">
      <c r="A142">
        <v>180953</v>
      </c>
      <c r="B142" t="s">
        <v>108</v>
      </c>
      <c r="C142" t="s">
        <v>372</v>
      </c>
      <c r="D142">
        <v>7511</v>
      </c>
      <c r="E142" t="s">
        <v>293</v>
      </c>
    </row>
    <row r="143" spans="1:5" hidden="1" x14ac:dyDescent="0.25">
      <c r="A143">
        <v>181044</v>
      </c>
      <c r="B143" t="s">
        <v>60</v>
      </c>
      <c r="C143" t="s">
        <v>375</v>
      </c>
      <c r="D143">
        <v>7678</v>
      </c>
      <c r="E143" t="s">
        <v>293</v>
      </c>
    </row>
    <row r="144" spans="1:5" hidden="1" x14ac:dyDescent="0.25">
      <c r="A144">
        <v>181057</v>
      </c>
      <c r="B144" t="s">
        <v>148</v>
      </c>
      <c r="C144" t="s">
        <v>378</v>
      </c>
      <c r="D144">
        <v>7696</v>
      </c>
      <c r="E144" t="s">
        <v>293</v>
      </c>
    </row>
    <row r="145" spans="1:5" hidden="1" x14ac:dyDescent="0.25">
      <c r="A145">
        <v>180272</v>
      </c>
      <c r="B145" t="s">
        <v>73</v>
      </c>
      <c r="C145" t="s">
        <v>378</v>
      </c>
      <c r="D145">
        <v>6879</v>
      </c>
      <c r="E145" t="s">
        <v>293</v>
      </c>
    </row>
    <row r="146" spans="1:5" hidden="1" x14ac:dyDescent="0.25">
      <c r="A146">
        <v>181102</v>
      </c>
      <c r="B146" t="s">
        <v>144</v>
      </c>
      <c r="C146" t="s">
        <v>366</v>
      </c>
      <c r="D146">
        <v>7768</v>
      </c>
      <c r="E146" t="s">
        <v>293</v>
      </c>
    </row>
    <row r="147" spans="1:5" hidden="1" x14ac:dyDescent="0.25">
      <c r="A147">
        <v>181107</v>
      </c>
      <c r="B147" t="s">
        <v>64</v>
      </c>
      <c r="C147" t="s">
        <v>372</v>
      </c>
      <c r="D147">
        <v>7779</v>
      </c>
      <c r="E147" t="s">
        <v>293</v>
      </c>
    </row>
    <row r="148" spans="1:5" hidden="1" x14ac:dyDescent="0.25">
      <c r="A148">
        <v>180026</v>
      </c>
      <c r="B148" t="s">
        <v>21</v>
      </c>
      <c r="C148" t="s">
        <v>366</v>
      </c>
      <c r="D148">
        <v>6389</v>
      </c>
      <c r="E148" t="s">
        <v>293</v>
      </c>
    </row>
    <row r="149" spans="1:5" hidden="1" x14ac:dyDescent="0.25">
      <c r="A149">
        <v>180794</v>
      </c>
      <c r="B149" t="s">
        <v>140</v>
      </c>
      <c r="C149" t="s">
        <v>375</v>
      </c>
      <c r="D149">
        <v>7132</v>
      </c>
      <c r="E149" t="s">
        <v>293</v>
      </c>
    </row>
    <row r="150" spans="1:5" hidden="1" x14ac:dyDescent="0.25">
      <c r="A150">
        <v>181017</v>
      </c>
      <c r="B150" t="s">
        <v>165</v>
      </c>
      <c r="C150" t="s">
        <v>372</v>
      </c>
      <c r="D150">
        <v>7626</v>
      </c>
      <c r="E150" t="s">
        <v>293</v>
      </c>
    </row>
    <row r="151" spans="1:5" hidden="1" x14ac:dyDescent="0.25">
      <c r="A151">
        <v>181043</v>
      </c>
      <c r="B151" t="s">
        <v>111</v>
      </c>
      <c r="C151" t="s">
        <v>372</v>
      </c>
      <c r="D151">
        <v>7679</v>
      </c>
      <c r="E151" t="s">
        <v>293</v>
      </c>
    </row>
    <row r="152" spans="1:5" hidden="1" x14ac:dyDescent="0.25">
      <c r="A152">
        <v>181054</v>
      </c>
      <c r="B152" t="s">
        <v>62</v>
      </c>
      <c r="C152" t="s">
        <v>372</v>
      </c>
      <c r="D152">
        <v>7693</v>
      </c>
      <c r="E152" t="s">
        <v>293</v>
      </c>
    </row>
    <row r="153" spans="1:5" hidden="1" x14ac:dyDescent="0.25">
      <c r="A153">
        <v>180075</v>
      </c>
      <c r="B153" t="s">
        <v>146</v>
      </c>
      <c r="C153" t="s">
        <v>372</v>
      </c>
      <c r="D153">
        <v>6498</v>
      </c>
      <c r="E153" t="s">
        <v>293</v>
      </c>
    </row>
    <row r="154" spans="1:5" hidden="1" x14ac:dyDescent="0.25">
      <c r="A154">
        <v>180947</v>
      </c>
      <c r="B154" t="s">
        <v>114</v>
      </c>
      <c r="C154" t="s">
        <v>378</v>
      </c>
      <c r="D154">
        <v>7463</v>
      </c>
      <c r="E154" t="s">
        <v>293</v>
      </c>
    </row>
    <row r="155" spans="1:5" hidden="1" x14ac:dyDescent="0.25">
      <c r="A155">
        <v>180241</v>
      </c>
      <c r="B155" t="s">
        <v>183</v>
      </c>
      <c r="C155" t="s">
        <v>372</v>
      </c>
      <c r="D155">
        <v>6817</v>
      </c>
      <c r="E155" t="s">
        <v>293</v>
      </c>
    </row>
    <row r="156" spans="1:5" hidden="1" x14ac:dyDescent="0.25">
      <c r="A156">
        <v>180908</v>
      </c>
      <c r="B156" t="s">
        <v>25</v>
      </c>
      <c r="C156" t="s">
        <v>372</v>
      </c>
      <c r="D156">
        <v>7380</v>
      </c>
      <c r="E156" t="s">
        <v>293</v>
      </c>
    </row>
    <row r="157" spans="1:5" hidden="1" x14ac:dyDescent="0.25">
      <c r="A157">
        <v>180099</v>
      </c>
      <c r="B157" t="s">
        <v>16</v>
      </c>
      <c r="C157" t="s">
        <v>395</v>
      </c>
      <c r="D157">
        <v>6535</v>
      </c>
      <c r="E157" t="s">
        <v>293</v>
      </c>
    </row>
    <row r="158" spans="1:5" hidden="1" x14ac:dyDescent="0.25">
      <c r="A158">
        <v>180102</v>
      </c>
      <c r="B158" t="s">
        <v>120</v>
      </c>
      <c r="C158" t="s">
        <v>366</v>
      </c>
      <c r="D158">
        <v>6539</v>
      </c>
      <c r="E158" t="s">
        <v>293</v>
      </c>
    </row>
    <row r="159" spans="1:5" hidden="1" x14ac:dyDescent="0.25">
      <c r="A159">
        <v>180788</v>
      </c>
      <c r="B159" t="s">
        <v>68</v>
      </c>
      <c r="C159" t="s">
        <v>372</v>
      </c>
      <c r="D159">
        <v>7116</v>
      </c>
      <c r="E159" t="s">
        <v>293</v>
      </c>
    </row>
    <row r="160" spans="1:5" hidden="1" x14ac:dyDescent="0.25">
      <c r="A160">
        <v>180791</v>
      </c>
      <c r="B160" t="s">
        <v>251</v>
      </c>
      <c r="C160" t="s">
        <v>366</v>
      </c>
      <c r="D160">
        <v>7117</v>
      </c>
      <c r="E160" t="s">
        <v>293</v>
      </c>
    </row>
    <row r="161" spans="1:5" hidden="1" x14ac:dyDescent="0.25">
      <c r="A161">
        <v>122591</v>
      </c>
      <c r="B161" t="s">
        <v>154</v>
      </c>
      <c r="C161" t="s">
        <v>372</v>
      </c>
      <c r="D161">
        <v>5947</v>
      </c>
      <c r="E161" t="s">
        <v>293</v>
      </c>
    </row>
    <row r="162" spans="1:5" hidden="1" x14ac:dyDescent="0.25">
      <c r="A162">
        <v>181124</v>
      </c>
      <c r="B162" t="s">
        <v>252</v>
      </c>
      <c r="C162" t="s">
        <v>372</v>
      </c>
      <c r="D162">
        <v>7809</v>
      </c>
      <c r="E162" t="s">
        <v>293</v>
      </c>
    </row>
    <row r="163" spans="1:5" hidden="1" x14ac:dyDescent="0.25">
      <c r="A163">
        <v>180728</v>
      </c>
      <c r="B163" t="s">
        <v>18</v>
      </c>
      <c r="C163" t="s">
        <v>378</v>
      </c>
      <c r="D163">
        <v>6974</v>
      </c>
      <c r="E163" t="s">
        <v>293</v>
      </c>
    </row>
    <row r="164" spans="1:5" hidden="1" x14ac:dyDescent="0.25">
      <c r="A164">
        <v>180749</v>
      </c>
      <c r="B164" t="s">
        <v>294</v>
      </c>
      <c r="C164" t="s">
        <v>378</v>
      </c>
      <c r="D164">
        <v>7033</v>
      </c>
      <c r="E164" t="s">
        <v>293</v>
      </c>
    </row>
    <row r="165" spans="1:5" hidden="1" x14ac:dyDescent="0.25">
      <c r="A165">
        <v>180988</v>
      </c>
      <c r="B165" t="s">
        <v>46</v>
      </c>
      <c r="C165" t="s">
        <v>372</v>
      </c>
      <c r="D165">
        <v>7562</v>
      </c>
      <c r="E165" t="s">
        <v>293</v>
      </c>
    </row>
    <row r="166" spans="1:5" hidden="1" x14ac:dyDescent="0.25">
      <c r="A166">
        <v>180985</v>
      </c>
      <c r="B166" t="s">
        <v>396</v>
      </c>
      <c r="C166" t="s">
        <v>373</v>
      </c>
      <c r="D166">
        <v>7558</v>
      </c>
      <c r="E166" t="s">
        <v>293</v>
      </c>
    </row>
    <row r="167" spans="1:5" hidden="1" x14ac:dyDescent="0.25">
      <c r="A167">
        <v>122574</v>
      </c>
      <c r="B167" t="s">
        <v>113</v>
      </c>
      <c r="C167" t="s">
        <v>382</v>
      </c>
      <c r="D167">
        <v>5824</v>
      </c>
      <c r="E167" t="s">
        <v>293</v>
      </c>
    </row>
    <row r="168" spans="1:5" hidden="1" x14ac:dyDescent="0.25">
      <c r="A168">
        <v>180178</v>
      </c>
      <c r="B168" t="s">
        <v>112</v>
      </c>
      <c r="C168" t="s">
        <v>382</v>
      </c>
      <c r="D168">
        <v>6712</v>
      </c>
      <c r="E168" t="s">
        <v>293</v>
      </c>
    </row>
    <row r="169" spans="1:5" hidden="1" x14ac:dyDescent="0.25">
      <c r="A169">
        <v>122681</v>
      </c>
      <c r="B169" t="s">
        <v>135</v>
      </c>
      <c r="C169" t="s">
        <v>368</v>
      </c>
      <c r="D169">
        <v>6193</v>
      </c>
      <c r="E169" t="s">
        <v>293</v>
      </c>
    </row>
    <row r="170" spans="1:5" hidden="1" x14ac:dyDescent="0.25">
      <c r="A170">
        <v>181109</v>
      </c>
      <c r="B170" t="s">
        <v>56</v>
      </c>
      <c r="C170" t="s">
        <v>378</v>
      </c>
      <c r="D170">
        <v>7777</v>
      </c>
      <c r="E170" t="s">
        <v>293</v>
      </c>
    </row>
    <row r="171" spans="1:5" hidden="1" x14ac:dyDescent="0.25">
      <c r="A171">
        <v>180224</v>
      </c>
      <c r="B171" t="s">
        <v>45</v>
      </c>
      <c r="C171" t="s">
        <v>372</v>
      </c>
      <c r="D171">
        <v>6792</v>
      </c>
      <c r="E171" t="s">
        <v>293</v>
      </c>
    </row>
    <row r="172" spans="1:5" hidden="1" x14ac:dyDescent="0.25">
      <c r="A172">
        <v>180225</v>
      </c>
      <c r="B172" t="s">
        <v>295</v>
      </c>
      <c r="C172" t="s">
        <v>378</v>
      </c>
      <c r="D172">
        <v>6793</v>
      </c>
      <c r="E172" t="s">
        <v>293</v>
      </c>
    </row>
    <row r="173" spans="1:5" hidden="1" x14ac:dyDescent="0.25">
      <c r="A173">
        <v>180693</v>
      </c>
      <c r="B173" t="s">
        <v>174</v>
      </c>
      <c r="C173" t="s">
        <v>373</v>
      </c>
      <c r="D173">
        <v>6942</v>
      </c>
      <c r="E173" t="s">
        <v>293</v>
      </c>
    </row>
    <row r="174" spans="1:5" hidden="1" x14ac:dyDescent="0.25">
      <c r="A174">
        <v>180700</v>
      </c>
      <c r="B174" t="s">
        <v>105</v>
      </c>
      <c r="C174" t="s">
        <v>378</v>
      </c>
      <c r="D174">
        <v>6964</v>
      </c>
      <c r="E174" t="s">
        <v>293</v>
      </c>
    </row>
    <row r="175" spans="1:5" hidden="1" x14ac:dyDescent="0.25">
      <c r="A175">
        <v>180921</v>
      </c>
      <c r="B175" t="s">
        <v>157</v>
      </c>
      <c r="C175" t="s">
        <v>372</v>
      </c>
      <c r="D175">
        <v>7416</v>
      </c>
      <c r="E175" t="s">
        <v>293</v>
      </c>
    </row>
    <row r="176" spans="1:5" hidden="1" x14ac:dyDescent="0.25">
      <c r="A176">
        <v>181012</v>
      </c>
      <c r="B176" t="s">
        <v>24</v>
      </c>
      <c r="C176" t="s">
        <v>372</v>
      </c>
      <c r="D176">
        <v>7615</v>
      </c>
      <c r="E176" t="s">
        <v>293</v>
      </c>
    </row>
    <row r="177" spans="1:5" hidden="1" x14ac:dyDescent="0.25">
      <c r="A177">
        <v>180114</v>
      </c>
      <c r="B177" t="s">
        <v>40</v>
      </c>
      <c r="C177" t="s">
        <v>382</v>
      </c>
      <c r="D177">
        <v>6567</v>
      </c>
      <c r="E177" t="s">
        <v>293</v>
      </c>
    </row>
    <row r="178" spans="1:5" hidden="1" x14ac:dyDescent="0.25">
      <c r="A178">
        <v>180248</v>
      </c>
      <c r="B178" t="s">
        <v>63</v>
      </c>
      <c r="C178" t="s">
        <v>366</v>
      </c>
      <c r="D178">
        <v>6830</v>
      </c>
      <c r="E178" t="s">
        <v>293</v>
      </c>
    </row>
    <row r="179" spans="1:5" hidden="1" x14ac:dyDescent="0.25">
      <c r="A179">
        <v>181047</v>
      </c>
      <c r="B179" t="s">
        <v>143</v>
      </c>
      <c r="C179" t="s">
        <v>368</v>
      </c>
      <c r="D179">
        <v>7675</v>
      </c>
      <c r="E179" t="s">
        <v>293</v>
      </c>
    </row>
    <row r="180" spans="1:5" hidden="1" x14ac:dyDescent="0.25">
      <c r="A180">
        <v>180809</v>
      </c>
      <c r="B180" t="s">
        <v>72</v>
      </c>
      <c r="C180" t="s">
        <v>382</v>
      </c>
      <c r="D180">
        <v>7168</v>
      </c>
      <c r="E180" t="s">
        <v>293</v>
      </c>
    </row>
    <row r="181" spans="1:5" hidden="1" x14ac:dyDescent="0.25">
      <c r="A181">
        <v>180818</v>
      </c>
      <c r="B181" t="s">
        <v>87</v>
      </c>
      <c r="C181" t="s">
        <v>366</v>
      </c>
      <c r="D181">
        <v>7187</v>
      </c>
      <c r="E181" t="s">
        <v>293</v>
      </c>
    </row>
    <row r="182" spans="1:5" hidden="1" x14ac:dyDescent="0.25">
      <c r="A182">
        <v>180223</v>
      </c>
      <c r="B182" t="s">
        <v>52</v>
      </c>
      <c r="C182" t="s">
        <v>382</v>
      </c>
      <c r="D182">
        <v>6774</v>
      </c>
      <c r="E182" t="s">
        <v>293</v>
      </c>
    </row>
    <row r="183" spans="1:5" hidden="1" x14ac:dyDescent="0.25">
      <c r="A183">
        <v>180755</v>
      </c>
      <c r="B183" t="s">
        <v>41</v>
      </c>
      <c r="C183" t="s">
        <v>373</v>
      </c>
      <c r="D183">
        <v>7044</v>
      </c>
      <c r="E183" t="s">
        <v>293</v>
      </c>
    </row>
    <row r="184" spans="1:5" hidden="1" x14ac:dyDescent="0.25">
      <c r="A184">
        <v>180288</v>
      </c>
      <c r="B184" t="s">
        <v>77</v>
      </c>
      <c r="C184" t="s">
        <v>366</v>
      </c>
      <c r="D184">
        <v>6901</v>
      </c>
      <c r="E184" t="s">
        <v>293</v>
      </c>
    </row>
    <row r="185" spans="1:5" hidden="1" x14ac:dyDescent="0.25">
      <c r="A185">
        <v>180900</v>
      </c>
      <c r="B185" t="s">
        <v>177</v>
      </c>
      <c r="C185" t="s">
        <v>366</v>
      </c>
      <c r="D185">
        <v>7360</v>
      </c>
      <c r="E185" t="s">
        <v>293</v>
      </c>
    </row>
    <row r="186" spans="1:5" hidden="1" x14ac:dyDescent="0.25">
      <c r="A186">
        <v>180984</v>
      </c>
      <c r="B186" t="s">
        <v>133</v>
      </c>
      <c r="C186" t="s">
        <v>366</v>
      </c>
      <c r="D186">
        <v>7557</v>
      </c>
      <c r="E186" t="s">
        <v>293</v>
      </c>
    </row>
    <row r="187" spans="1:5" hidden="1" x14ac:dyDescent="0.25">
      <c r="A187">
        <v>180946</v>
      </c>
      <c r="B187" t="s">
        <v>173</v>
      </c>
      <c r="C187" t="s">
        <v>372</v>
      </c>
      <c r="D187">
        <v>7478</v>
      </c>
      <c r="E187" t="s">
        <v>293</v>
      </c>
    </row>
    <row r="188" spans="1:5" hidden="1" x14ac:dyDescent="0.25">
      <c r="A188">
        <v>180866</v>
      </c>
      <c r="B188" t="s">
        <v>139</v>
      </c>
      <c r="C188" t="s">
        <v>366</v>
      </c>
      <c r="D188">
        <v>7270</v>
      </c>
      <c r="E188" t="s">
        <v>293</v>
      </c>
    </row>
    <row r="189" spans="1:5" hidden="1" x14ac:dyDescent="0.25">
      <c r="A189">
        <v>180797</v>
      </c>
      <c r="B189" t="s">
        <v>43</v>
      </c>
      <c r="C189" t="s">
        <v>366</v>
      </c>
      <c r="D189">
        <v>7141</v>
      </c>
      <c r="E189" t="s">
        <v>293</v>
      </c>
    </row>
    <row r="190" spans="1:5" hidden="1" x14ac:dyDescent="0.25">
      <c r="A190">
        <v>181117</v>
      </c>
      <c r="B190" t="s">
        <v>29</v>
      </c>
      <c r="C190" t="s">
        <v>372</v>
      </c>
      <c r="D190">
        <v>7793</v>
      </c>
      <c r="E190" t="s">
        <v>293</v>
      </c>
    </row>
    <row r="191" spans="1:5" hidden="1" x14ac:dyDescent="0.25">
      <c r="A191">
        <v>181011</v>
      </c>
      <c r="B191" t="s">
        <v>89</v>
      </c>
      <c r="C191" t="s">
        <v>372</v>
      </c>
      <c r="D191">
        <v>7614</v>
      </c>
      <c r="E191" t="s">
        <v>293</v>
      </c>
    </row>
    <row r="192" spans="1:5" hidden="1" x14ac:dyDescent="0.25">
      <c r="A192">
        <v>180885</v>
      </c>
      <c r="B192" t="s">
        <v>156</v>
      </c>
      <c r="C192" t="s">
        <v>372</v>
      </c>
      <c r="D192">
        <v>7308</v>
      </c>
      <c r="E192" t="s">
        <v>293</v>
      </c>
    </row>
    <row r="193" spans="1:5" hidden="1" x14ac:dyDescent="0.25">
      <c r="A193">
        <v>180998</v>
      </c>
      <c r="B193" t="s">
        <v>152</v>
      </c>
      <c r="C193" t="s">
        <v>366</v>
      </c>
      <c r="D193">
        <v>7588</v>
      </c>
      <c r="E193" t="s">
        <v>293</v>
      </c>
    </row>
    <row r="194" spans="1:5" hidden="1" x14ac:dyDescent="0.25">
      <c r="A194">
        <v>180185</v>
      </c>
      <c r="B194" t="s">
        <v>6</v>
      </c>
      <c r="C194" t="s">
        <v>382</v>
      </c>
      <c r="D194">
        <v>6725</v>
      </c>
      <c r="E194" t="s">
        <v>293</v>
      </c>
    </row>
    <row r="195" spans="1:5" hidden="1" x14ac:dyDescent="0.25">
      <c r="A195">
        <v>181032</v>
      </c>
      <c r="B195" t="s">
        <v>57</v>
      </c>
      <c r="C195" t="s">
        <v>372</v>
      </c>
      <c r="D195">
        <v>7644</v>
      </c>
      <c r="E195" t="s">
        <v>293</v>
      </c>
    </row>
    <row r="196" spans="1:5" hidden="1" x14ac:dyDescent="0.25">
      <c r="A196">
        <v>181125</v>
      </c>
      <c r="B196" t="s">
        <v>74</v>
      </c>
      <c r="C196" t="s">
        <v>372</v>
      </c>
      <c r="D196">
        <v>7808</v>
      </c>
      <c r="E196" t="s">
        <v>293</v>
      </c>
    </row>
    <row r="197" spans="1:5" hidden="1" x14ac:dyDescent="0.25">
      <c r="A197">
        <v>181003</v>
      </c>
      <c r="B197" t="s">
        <v>39</v>
      </c>
      <c r="C197" t="s">
        <v>366</v>
      </c>
      <c r="D197">
        <v>7595</v>
      </c>
      <c r="E197" t="s">
        <v>293</v>
      </c>
    </row>
    <row r="198" spans="1:5" hidden="1" x14ac:dyDescent="0.25">
      <c r="A198">
        <v>181099</v>
      </c>
      <c r="B198" t="s">
        <v>95</v>
      </c>
      <c r="C198" t="s">
        <v>372</v>
      </c>
      <c r="D198">
        <v>7761</v>
      </c>
      <c r="E198" t="s">
        <v>293</v>
      </c>
    </row>
    <row r="199" spans="1:5" hidden="1" x14ac:dyDescent="0.25">
      <c r="A199">
        <v>181100</v>
      </c>
      <c r="B199" t="s">
        <v>32</v>
      </c>
      <c r="C199" t="s">
        <v>372</v>
      </c>
      <c r="D199">
        <v>7762</v>
      </c>
      <c r="E199" t="s">
        <v>293</v>
      </c>
    </row>
    <row r="200" spans="1:5" hidden="1" x14ac:dyDescent="0.25">
      <c r="A200">
        <v>180884</v>
      </c>
      <c r="B200" t="s">
        <v>129</v>
      </c>
      <c r="C200" t="s">
        <v>372</v>
      </c>
      <c r="D200">
        <v>7307</v>
      </c>
      <c r="E200" t="s">
        <v>293</v>
      </c>
    </row>
    <row r="201" spans="1:5" hidden="1" x14ac:dyDescent="0.25">
      <c r="A201">
        <v>180744</v>
      </c>
      <c r="B201" t="s">
        <v>166</v>
      </c>
      <c r="C201" t="s">
        <v>366</v>
      </c>
      <c r="D201">
        <v>7017</v>
      </c>
      <c r="E201" t="s">
        <v>293</v>
      </c>
    </row>
    <row r="202" spans="1:5" hidden="1" x14ac:dyDescent="0.25">
      <c r="A202">
        <v>180955</v>
      </c>
      <c r="B202" t="s">
        <v>13</v>
      </c>
      <c r="C202" t="s">
        <v>373</v>
      </c>
      <c r="D202">
        <v>7522</v>
      </c>
      <c r="E202" t="s">
        <v>293</v>
      </c>
    </row>
    <row r="203" spans="1:5" hidden="1" x14ac:dyDescent="0.25">
      <c r="A203">
        <v>180868</v>
      </c>
      <c r="B203" t="s">
        <v>37</v>
      </c>
      <c r="C203" t="s">
        <v>372</v>
      </c>
      <c r="D203">
        <v>7280</v>
      </c>
      <c r="E203" t="s">
        <v>293</v>
      </c>
    </row>
    <row r="204" spans="1:5" hidden="1" x14ac:dyDescent="0.25">
      <c r="A204">
        <v>180997</v>
      </c>
      <c r="B204" t="s">
        <v>253</v>
      </c>
      <c r="C204" t="s">
        <v>379</v>
      </c>
      <c r="D204">
        <v>7566</v>
      </c>
      <c r="E204" t="s">
        <v>293</v>
      </c>
    </row>
    <row r="205" spans="1:5" hidden="1" x14ac:dyDescent="0.25">
      <c r="A205">
        <v>180899</v>
      </c>
      <c r="B205" t="s">
        <v>96</v>
      </c>
      <c r="C205" t="s">
        <v>368</v>
      </c>
      <c r="D205">
        <v>7351</v>
      </c>
      <c r="E205" t="s">
        <v>293</v>
      </c>
    </row>
    <row r="206" spans="1:5" hidden="1" x14ac:dyDescent="0.25">
      <c r="A206">
        <v>180819</v>
      </c>
      <c r="B206" t="s">
        <v>59</v>
      </c>
      <c r="C206" t="s">
        <v>371</v>
      </c>
      <c r="D206">
        <v>7189</v>
      </c>
      <c r="E206" t="s">
        <v>293</v>
      </c>
    </row>
    <row r="207" spans="1:5" hidden="1" x14ac:dyDescent="0.25">
      <c r="A207">
        <v>180990</v>
      </c>
      <c r="B207" t="s">
        <v>397</v>
      </c>
      <c r="C207" t="s">
        <v>378</v>
      </c>
      <c r="D207">
        <v>7564</v>
      </c>
      <c r="E207" t="s">
        <v>293</v>
      </c>
    </row>
    <row r="208" spans="1:5" hidden="1" x14ac:dyDescent="0.25">
      <c r="A208">
        <v>122618</v>
      </c>
      <c r="B208" t="s">
        <v>178</v>
      </c>
      <c r="C208" t="s">
        <v>372</v>
      </c>
      <c r="D208">
        <v>6013</v>
      </c>
      <c r="E208" t="s">
        <v>293</v>
      </c>
    </row>
    <row r="209" spans="1:5" hidden="1" x14ac:dyDescent="0.25">
      <c r="A209">
        <v>181031</v>
      </c>
      <c r="B209" t="s">
        <v>132</v>
      </c>
      <c r="C209" t="s">
        <v>378</v>
      </c>
      <c r="D209">
        <v>7643</v>
      </c>
      <c r="E209" t="s">
        <v>293</v>
      </c>
    </row>
    <row r="210" spans="1:5" hidden="1" x14ac:dyDescent="0.25">
      <c r="A210">
        <v>180832</v>
      </c>
      <c r="B210" t="s">
        <v>106</v>
      </c>
      <c r="C210" t="s">
        <v>372</v>
      </c>
      <c r="D210">
        <v>7210</v>
      </c>
      <c r="E210" t="s">
        <v>293</v>
      </c>
    </row>
    <row r="211" spans="1:5" hidden="1" x14ac:dyDescent="0.25">
      <c r="A211">
        <v>181004</v>
      </c>
      <c r="B211" t="s">
        <v>79</v>
      </c>
      <c r="C211" t="s">
        <v>373</v>
      </c>
      <c r="D211">
        <v>7596</v>
      </c>
      <c r="E211" t="s">
        <v>293</v>
      </c>
    </row>
    <row r="212" spans="1:5" hidden="1" x14ac:dyDescent="0.25">
      <c r="A212">
        <v>181123</v>
      </c>
      <c r="B212" t="s">
        <v>158</v>
      </c>
      <c r="C212" t="s">
        <v>372</v>
      </c>
      <c r="D212">
        <v>7810</v>
      </c>
      <c r="E212" t="s">
        <v>293</v>
      </c>
    </row>
    <row r="213" spans="1:5" hidden="1" x14ac:dyDescent="0.25">
      <c r="A213">
        <v>180959</v>
      </c>
      <c r="B213" t="s">
        <v>84</v>
      </c>
      <c r="C213" t="s">
        <v>378</v>
      </c>
      <c r="D213">
        <v>7538</v>
      </c>
      <c r="E213" t="s">
        <v>293</v>
      </c>
    </row>
    <row r="214" spans="1:5" hidden="1" x14ac:dyDescent="0.25">
      <c r="A214">
        <v>180961</v>
      </c>
      <c r="B214" t="s">
        <v>254</v>
      </c>
      <c r="C214" t="s">
        <v>372</v>
      </c>
      <c r="D214">
        <v>7540</v>
      </c>
      <c r="E214" t="s">
        <v>293</v>
      </c>
    </row>
    <row r="215" spans="1:5" hidden="1" x14ac:dyDescent="0.25">
      <c r="A215">
        <v>180162</v>
      </c>
      <c r="B215" t="s">
        <v>23</v>
      </c>
      <c r="C215" t="s">
        <v>368</v>
      </c>
      <c r="D215">
        <v>6681</v>
      </c>
      <c r="E215" t="s">
        <v>293</v>
      </c>
    </row>
    <row r="216" spans="1:5" hidden="1" x14ac:dyDescent="0.25">
      <c r="A216">
        <v>180983</v>
      </c>
      <c r="B216" t="s">
        <v>175</v>
      </c>
      <c r="C216" t="s">
        <v>373</v>
      </c>
      <c r="D216">
        <v>7556</v>
      </c>
      <c r="E216" t="s">
        <v>293</v>
      </c>
    </row>
    <row r="217" spans="1:5" hidden="1" x14ac:dyDescent="0.25">
      <c r="A217">
        <v>181336</v>
      </c>
      <c r="B217" t="s">
        <v>423</v>
      </c>
      <c r="C217" t="s">
        <v>380</v>
      </c>
      <c r="D217">
        <v>8141</v>
      </c>
      <c r="E217" t="s">
        <v>293</v>
      </c>
    </row>
    <row r="218" spans="1:5" hidden="1" x14ac:dyDescent="0.25">
      <c r="A218">
        <v>181344</v>
      </c>
      <c r="B218" t="s">
        <v>424</v>
      </c>
      <c r="C218" t="s">
        <v>366</v>
      </c>
      <c r="D218">
        <v>8154</v>
      </c>
      <c r="E218" t="s">
        <v>293</v>
      </c>
    </row>
    <row r="219" spans="1:5" hidden="1" x14ac:dyDescent="0.25">
      <c r="A219">
        <v>181291</v>
      </c>
      <c r="B219" t="s">
        <v>296</v>
      </c>
      <c r="C219" t="s">
        <v>366</v>
      </c>
      <c r="D219">
        <v>8111</v>
      </c>
      <c r="E219" t="s">
        <v>293</v>
      </c>
    </row>
    <row r="220" spans="1:5" hidden="1" x14ac:dyDescent="0.25">
      <c r="A220">
        <v>181357</v>
      </c>
      <c r="B220" t="s">
        <v>425</v>
      </c>
      <c r="C220" t="s">
        <v>373</v>
      </c>
      <c r="D220">
        <v>8180</v>
      </c>
      <c r="E220" t="s">
        <v>293</v>
      </c>
    </row>
    <row r="221" spans="1:5" hidden="1" x14ac:dyDescent="0.25">
      <c r="A221">
        <v>181240</v>
      </c>
      <c r="B221" t="s">
        <v>297</v>
      </c>
      <c r="C221" t="s">
        <v>372</v>
      </c>
      <c r="D221">
        <v>8016</v>
      </c>
      <c r="E221" t="s">
        <v>293</v>
      </c>
    </row>
    <row r="222" spans="1:5" x14ac:dyDescent="0.25">
      <c r="A222">
        <v>181292</v>
      </c>
      <c r="B222" t="s">
        <v>298</v>
      </c>
      <c r="C222" t="s">
        <v>372</v>
      </c>
      <c r="D222">
        <v>8101</v>
      </c>
      <c r="E222" t="s">
        <v>293</v>
      </c>
    </row>
    <row r="223" spans="1:5" hidden="1" x14ac:dyDescent="0.25">
      <c r="A223">
        <v>181225</v>
      </c>
      <c r="B223" t="s">
        <v>299</v>
      </c>
      <c r="C223" t="s">
        <v>366</v>
      </c>
      <c r="D223">
        <v>7989</v>
      </c>
      <c r="E223" t="s">
        <v>293</v>
      </c>
    </row>
    <row r="224" spans="1:5" hidden="1" x14ac:dyDescent="0.25">
      <c r="A224">
        <v>181369</v>
      </c>
      <c r="B224" t="s">
        <v>426</v>
      </c>
      <c r="C224" t="s">
        <v>373</v>
      </c>
      <c r="D224">
        <v>8200</v>
      </c>
      <c r="E224" t="s">
        <v>293</v>
      </c>
    </row>
    <row r="225" spans="1:5" hidden="1" x14ac:dyDescent="0.25">
      <c r="A225">
        <v>181267</v>
      </c>
      <c r="B225" t="s">
        <v>300</v>
      </c>
      <c r="C225" t="s">
        <v>378</v>
      </c>
      <c r="D225">
        <v>8053</v>
      </c>
      <c r="E225" t="s">
        <v>293</v>
      </c>
    </row>
    <row r="226" spans="1:5" hidden="1" x14ac:dyDescent="0.25">
      <c r="A226">
        <v>181371</v>
      </c>
      <c r="B226" t="s">
        <v>427</v>
      </c>
      <c r="C226" t="s">
        <v>372</v>
      </c>
      <c r="D226">
        <v>8199</v>
      </c>
      <c r="E226" t="s">
        <v>293</v>
      </c>
    </row>
    <row r="227" spans="1:5" hidden="1" x14ac:dyDescent="0.25">
      <c r="A227">
        <v>181174</v>
      </c>
      <c r="B227" t="s">
        <v>255</v>
      </c>
      <c r="C227" t="s">
        <v>378</v>
      </c>
      <c r="D227">
        <v>7908</v>
      </c>
      <c r="E227" t="s">
        <v>293</v>
      </c>
    </row>
    <row r="228" spans="1:5" hidden="1" x14ac:dyDescent="0.25">
      <c r="A228">
        <v>181186</v>
      </c>
      <c r="B228" t="s">
        <v>256</v>
      </c>
      <c r="C228" t="s">
        <v>378</v>
      </c>
      <c r="D228">
        <v>7927</v>
      </c>
      <c r="E228" t="s">
        <v>293</v>
      </c>
    </row>
    <row r="229" spans="1:5" hidden="1" x14ac:dyDescent="0.25">
      <c r="A229">
        <v>181203</v>
      </c>
      <c r="B229" t="s">
        <v>257</v>
      </c>
      <c r="C229" t="s">
        <v>372</v>
      </c>
      <c r="D229">
        <v>7947</v>
      </c>
      <c r="E229" t="s">
        <v>293</v>
      </c>
    </row>
    <row r="230" spans="1:5" hidden="1" x14ac:dyDescent="0.25">
      <c r="A230">
        <v>181347</v>
      </c>
      <c r="B230" t="s">
        <v>428</v>
      </c>
      <c r="C230" t="s">
        <v>373</v>
      </c>
      <c r="D230">
        <v>8158</v>
      </c>
      <c r="E230" t="s">
        <v>293</v>
      </c>
    </row>
    <row r="231" spans="1:5" hidden="1" x14ac:dyDescent="0.25">
      <c r="A231">
        <v>181192</v>
      </c>
      <c r="B231" t="s">
        <v>258</v>
      </c>
      <c r="C231" t="s">
        <v>373</v>
      </c>
      <c r="D231">
        <v>7929</v>
      </c>
      <c r="E231" t="s">
        <v>293</v>
      </c>
    </row>
    <row r="232" spans="1:5" hidden="1" x14ac:dyDescent="0.25">
      <c r="A232">
        <v>181299</v>
      </c>
      <c r="B232" t="s">
        <v>429</v>
      </c>
      <c r="C232" t="s">
        <v>366</v>
      </c>
      <c r="D232">
        <v>8119</v>
      </c>
      <c r="E232" t="s">
        <v>293</v>
      </c>
    </row>
    <row r="233" spans="1:5" hidden="1" x14ac:dyDescent="0.25">
      <c r="A233">
        <v>181182</v>
      </c>
      <c r="B233" t="s">
        <v>398</v>
      </c>
      <c r="C233" t="s">
        <v>378</v>
      </c>
      <c r="D233">
        <v>7928</v>
      </c>
      <c r="E233" t="s">
        <v>293</v>
      </c>
    </row>
    <row r="234" spans="1:5" hidden="1" x14ac:dyDescent="0.25">
      <c r="A234">
        <v>181206</v>
      </c>
      <c r="B234" t="s">
        <v>259</v>
      </c>
      <c r="C234" t="s">
        <v>372</v>
      </c>
      <c r="D234">
        <v>7954</v>
      </c>
      <c r="E234" t="s">
        <v>293</v>
      </c>
    </row>
    <row r="235" spans="1:5" hidden="1" x14ac:dyDescent="0.25">
      <c r="A235">
        <v>181202</v>
      </c>
      <c r="B235" t="s">
        <v>260</v>
      </c>
      <c r="C235" t="s">
        <v>372</v>
      </c>
      <c r="D235">
        <v>7946</v>
      </c>
      <c r="E235" t="s">
        <v>293</v>
      </c>
    </row>
    <row r="236" spans="1:5" hidden="1" x14ac:dyDescent="0.25">
      <c r="A236">
        <v>181366</v>
      </c>
      <c r="B236" t="s">
        <v>430</v>
      </c>
      <c r="C236" t="s">
        <v>378</v>
      </c>
      <c r="D236">
        <v>8190</v>
      </c>
      <c r="E236" t="s">
        <v>293</v>
      </c>
    </row>
    <row r="237" spans="1:5" hidden="1" x14ac:dyDescent="0.25">
      <c r="A237">
        <v>181155</v>
      </c>
      <c r="B237" t="s">
        <v>261</v>
      </c>
      <c r="C237" t="s">
        <v>372</v>
      </c>
      <c r="D237">
        <v>7881</v>
      </c>
      <c r="E237" t="s">
        <v>293</v>
      </c>
    </row>
    <row r="238" spans="1:5" hidden="1" x14ac:dyDescent="0.25">
      <c r="A238">
        <v>181343</v>
      </c>
      <c r="B238" t="s">
        <v>431</v>
      </c>
      <c r="C238" t="s">
        <v>380</v>
      </c>
      <c r="D238">
        <v>8152</v>
      </c>
      <c r="E238" t="s">
        <v>293</v>
      </c>
    </row>
    <row r="239" spans="1:5" hidden="1" x14ac:dyDescent="0.25">
      <c r="A239">
        <v>181195</v>
      </c>
      <c r="B239" t="s">
        <v>262</v>
      </c>
      <c r="C239" t="s">
        <v>378</v>
      </c>
      <c r="D239">
        <v>7936</v>
      </c>
      <c r="E239" t="s">
        <v>293</v>
      </c>
    </row>
    <row r="240" spans="1:5" hidden="1" x14ac:dyDescent="0.25">
      <c r="A240">
        <v>181370</v>
      </c>
      <c r="B240" t="s">
        <v>432</v>
      </c>
      <c r="C240" t="s">
        <v>373</v>
      </c>
      <c r="D240">
        <v>8201</v>
      </c>
      <c r="E240" t="s">
        <v>293</v>
      </c>
    </row>
    <row r="241" spans="1:5" hidden="1" x14ac:dyDescent="0.25">
      <c r="A241">
        <v>181178</v>
      </c>
      <c r="B241" t="s">
        <v>263</v>
      </c>
      <c r="C241" t="s">
        <v>372</v>
      </c>
      <c r="D241">
        <v>7916</v>
      </c>
      <c r="E241" t="s">
        <v>293</v>
      </c>
    </row>
    <row r="242" spans="1:5" hidden="1" x14ac:dyDescent="0.25">
      <c r="A242">
        <v>181230</v>
      </c>
      <c r="B242" t="s">
        <v>301</v>
      </c>
      <c r="C242" t="s">
        <v>378</v>
      </c>
      <c r="D242">
        <v>8007</v>
      </c>
      <c r="E242" t="s">
        <v>293</v>
      </c>
    </row>
    <row r="243" spans="1:5" hidden="1" x14ac:dyDescent="0.25">
      <c r="A243">
        <v>181232</v>
      </c>
      <c r="B243" t="s">
        <v>302</v>
      </c>
      <c r="C243" t="s">
        <v>378</v>
      </c>
      <c r="D243">
        <v>8008</v>
      </c>
      <c r="E243" t="s">
        <v>293</v>
      </c>
    </row>
    <row r="244" spans="1:5" hidden="1" x14ac:dyDescent="0.25">
      <c r="A244">
        <v>181332</v>
      </c>
      <c r="B244" t="s">
        <v>433</v>
      </c>
      <c r="C244" t="s">
        <v>372</v>
      </c>
      <c r="D244">
        <v>8131</v>
      </c>
      <c r="E244" t="s">
        <v>293</v>
      </c>
    </row>
    <row r="245" spans="1:5" hidden="1" x14ac:dyDescent="0.25">
      <c r="A245">
        <v>181248</v>
      </c>
      <c r="B245" t="s">
        <v>303</v>
      </c>
      <c r="C245" t="s">
        <v>366</v>
      </c>
      <c r="D245">
        <v>8029</v>
      </c>
      <c r="E245" t="s">
        <v>293</v>
      </c>
    </row>
    <row r="246" spans="1:5" hidden="1" x14ac:dyDescent="0.25">
      <c r="A246">
        <v>181249</v>
      </c>
      <c r="B246" t="s">
        <v>304</v>
      </c>
      <c r="C246" t="s">
        <v>378</v>
      </c>
      <c r="D246">
        <v>8030</v>
      </c>
      <c r="E246" t="s">
        <v>293</v>
      </c>
    </row>
    <row r="247" spans="1:5" hidden="1" x14ac:dyDescent="0.25">
      <c r="A247">
        <v>181227</v>
      </c>
      <c r="B247" t="s">
        <v>305</v>
      </c>
      <c r="C247" t="s">
        <v>366</v>
      </c>
      <c r="D247">
        <v>7991</v>
      </c>
      <c r="E247" t="s">
        <v>293</v>
      </c>
    </row>
    <row r="248" spans="1:5" hidden="1" x14ac:dyDescent="0.25">
      <c r="A248">
        <v>181151</v>
      </c>
      <c r="B248" t="s">
        <v>399</v>
      </c>
      <c r="C248" t="s">
        <v>379</v>
      </c>
      <c r="D248">
        <v>7875</v>
      </c>
      <c r="E248" t="s">
        <v>293</v>
      </c>
    </row>
    <row r="249" spans="1:5" hidden="1" x14ac:dyDescent="0.25">
      <c r="A249">
        <v>181358</v>
      </c>
      <c r="B249" t="s">
        <v>434</v>
      </c>
      <c r="C249" t="s">
        <v>372</v>
      </c>
      <c r="D249">
        <v>8181</v>
      </c>
      <c r="E249" t="s">
        <v>293</v>
      </c>
    </row>
    <row r="250" spans="1:5" hidden="1" x14ac:dyDescent="0.25">
      <c r="A250">
        <v>181228</v>
      </c>
      <c r="B250" t="s">
        <v>306</v>
      </c>
      <c r="C250" t="s">
        <v>366</v>
      </c>
      <c r="D250">
        <v>7987</v>
      </c>
      <c r="E250" t="s">
        <v>293</v>
      </c>
    </row>
    <row r="251" spans="1:5" hidden="1" x14ac:dyDescent="0.25">
      <c r="A251">
        <v>181273</v>
      </c>
      <c r="B251" t="s">
        <v>307</v>
      </c>
      <c r="C251" t="s">
        <v>366</v>
      </c>
      <c r="D251">
        <v>8061</v>
      </c>
      <c r="E251" t="s">
        <v>293</v>
      </c>
    </row>
    <row r="252" spans="1:5" hidden="1" x14ac:dyDescent="0.25">
      <c r="A252">
        <v>181211</v>
      </c>
      <c r="B252" t="s">
        <v>264</v>
      </c>
      <c r="C252" t="s">
        <v>372</v>
      </c>
      <c r="D252">
        <v>7964</v>
      </c>
      <c r="E252" t="s">
        <v>293</v>
      </c>
    </row>
    <row r="253" spans="1:5" hidden="1" x14ac:dyDescent="0.25">
      <c r="A253">
        <v>181254</v>
      </c>
      <c r="B253" t="s">
        <v>308</v>
      </c>
      <c r="C253" t="s">
        <v>372</v>
      </c>
      <c r="D253">
        <v>8037</v>
      </c>
      <c r="E253" t="s">
        <v>293</v>
      </c>
    </row>
    <row r="254" spans="1:5" hidden="1" x14ac:dyDescent="0.25">
      <c r="A254">
        <v>181334</v>
      </c>
      <c r="B254" t="s">
        <v>435</v>
      </c>
      <c r="C254" t="s">
        <v>372</v>
      </c>
      <c r="D254">
        <v>8130</v>
      </c>
      <c r="E254" t="s">
        <v>293</v>
      </c>
    </row>
    <row r="255" spans="1:5" hidden="1" x14ac:dyDescent="0.25">
      <c r="A255">
        <v>181359</v>
      </c>
      <c r="B255" t="s">
        <v>436</v>
      </c>
      <c r="C255" t="s">
        <v>373</v>
      </c>
      <c r="D255">
        <v>8182</v>
      </c>
      <c r="E255" t="s">
        <v>293</v>
      </c>
    </row>
    <row r="256" spans="1:5" hidden="1" x14ac:dyDescent="0.25">
      <c r="A256">
        <v>181241</v>
      </c>
      <c r="B256" t="s">
        <v>309</v>
      </c>
      <c r="C256" t="s">
        <v>372</v>
      </c>
      <c r="D256">
        <v>8018</v>
      </c>
      <c r="E256" t="s">
        <v>293</v>
      </c>
    </row>
    <row r="257" spans="1:5" hidden="1" x14ac:dyDescent="0.25">
      <c r="A257">
        <v>181201</v>
      </c>
      <c r="B257" t="s">
        <v>265</v>
      </c>
      <c r="C257" t="s">
        <v>366</v>
      </c>
      <c r="D257">
        <v>7945</v>
      </c>
      <c r="E257" t="s">
        <v>293</v>
      </c>
    </row>
    <row r="258" spans="1:5" hidden="1" x14ac:dyDescent="0.25">
      <c r="A258">
        <v>181165</v>
      </c>
      <c r="B258" t="s">
        <v>400</v>
      </c>
      <c r="C258" t="s">
        <v>378</v>
      </c>
      <c r="D258">
        <v>7884</v>
      </c>
      <c r="E258" t="s">
        <v>293</v>
      </c>
    </row>
    <row r="259" spans="1:5" hidden="1" x14ac:dyDescent="0.25">
      <c r="A259">
        <v>181352</v>
      </c>
      <c r="B259" t="s">
        <v>437</v>
      </c>
      <c r="C259" t="s">
        <v>380</v>
      </c>
      <c r="D259">
        <v>8157</v>
      </c>
      <c r="E259" t="s">
        <v>293</v>
      </c>
    </row>
    <row r="260" spans="1:5" hidden="1" x14ac:dyDescent="0.25">
      <c r="A260">
        <v>181286</v>
      </c>
      <c r="B260" t="s">
        <v>310</v>
      </c>
      <c r="C260" t="s">
        <v>366</v>
      </c>
      <c r="D260">
        <v>8095</v>
      </c>
      <c r="E260" t="s">
        <v>293</v>
      </c>
    </row>
    <row r="261" spans="1:5" hidden="1" x14ac:dyDescent="0.25">
      <c r="A261">
        <v>181356</v>
      </c>
      <c r="B261" t="s">
        <v>438</v>
      </c>
      <c r="C261" t="s">
        <v>378</v>
      </c>
      <c r="D261">
        <v>8177</v>
      </c>
      <c r="E261" t="s">
        <v>293</v>
      </c>
    </row>
    <row r="262" spans="1:5" hidden="1" x14ac:dyDescent="0.25">
      <c r="A262">
        <v>181281</v>
      </c>
      <c r="B262" t="s">
        <v>311</v>
      </c>
      <c r="C262" t="s">
        <v>372</v>
      </c>
      <c r="D262">
        <v>8075</v>
      </c>
      <c r="E262" t="s">
        <v>293</v>
      </c>
    </row>
    <row r="263" spans="1:5" hidden="1" x14ac:dyDescent="0.25">
      <c r="A263">
        <v>181353</v>
      </c>
      <c r="B263" t="s">
        <v>439</v>
      </c>
      <c r="C263" t="s">
        <v>366</v>
      </c>
      <c r="D263">
        <v>8156</v>
      </c>
      <c r="E263" t="s">
        <v>293</v>
      </c>
    </row>
    <row r="264" spans="1:5" hidden="1" x14ac:dyDescent="0.25">
      <c r="A264">
        <v>181372</v>
      </c>
      <c r="B264" t="s">
        <v>440</v>
      </c>
      <c r="C264" t="s">
        <v>373</v>
      </c>
      <c r="D264">
        <v>8197</v>
      </c>
      <c r="E264" t="s">
        <v>293</v>
      </c>
    </row>
    <row r="265" spans="1:5" hidden="1" x14ac:dyDescent="0.25">
      <c r="A265">
        <v>181338</v>
      </c>
      <c r="B265" t="s">
        <v>441</v>
      </c>
      <c r="C265" t="s">
        <v>380</v>
      </c>
      <c r="D265">
        <v>8143</v>
      </c>
      <c r="E265" t="s">
        <v>293</v>
      </c>
    </row>
    <row r="266" spans="1:5" hidden="1" x14ac:dyDescent="0.25">
      <c r="A266">
        <v>181285</v>
      </c>
      <c r="B266" t="s">
        <v>312</v>
      </c>
      <c r="C266" t="s">
        <v>366</v>
      </c>
      <c r="D266">
        <v>8094</v>
      </c>
      <c r="E266" t="s">
        <v>293</v>
      </c>
    </row>
    <row r="267" spans="1:5" hidden="1" x14ac:dyDescent="0.25">
      <c r="A267">
        <v>181278</v>
      </c>
      <c r="B267" t="s">
        <v>401</v>
      </c>
      <c r="C267" t="s">
        <v>379</v>
      </c>
      <c r="D267">
        <v>8067</v>
      </c>
      <c r="E267" t="s">
        <v>293</v>
      </c>
    </row>
    <row r="268" spans="1:5" hidden="1" x14ac:dyDescent="0.25">
      <c r="A268">
        <v>181127</v>
      </c>
      <c r="B268" t="s">
        <v>121</v>
      </c>
      <c r="C268" t="s">
        <v>372</v>
      </c>
      <c r="D268">
        <v>7821</v>
      </c>
      <c r="E268" t="s">
        <v>293</v>
      </c>
    </row>
    <row r="269" spans="1:5" x14ac:dyDescent="0.25">
      <c r="A269">
        <v>181181</v>
      </c>
      <c r="B269" t="s">
        <v>266</v>
      </c>
      <c r="C269" t="s">
        <v>372</v>
      </c>
      <c r="D269">
        <v>7922</v>
      </c>
      <c r="E269" t="s">
        <v>293</v>
      </c>
    </row>
    <row r="270" spans="1:5" hidden="1" x14ac:dyDescent="0.25">
      <c r="A270">
        <v>181351</v>
      </c>
      <c r="B270" t="s">
        <v>442</v>
      </c>
      <c r="C270" t="s">
        <v>372</v>
      </c>
      <c r="D270">
        <v>8168</v>
      </c>
      <c r="E270" t="s">
        <v>293</v>
      </c>
    </row>
    <row r="271" spans="1:5" hidden="1" x14ac:dyDescent="0.25">
      <c r="A271">
        <v>181210</v>
      </c>
      <c r="B271" t="s">
        <v>313</v>
      </c>
      <c r="C271" t="s">
        <v>366</v>
      </c>
      <c r="D271">
        <v>7963</v>
      </c>
      <c r="E271" t="s">
        <v>293</v>
      </c>
    </row>
    <row r="272" spans="1:5" hidden="1" x14ac:dyDescent="0.25">
      <c r="A272">
        <v>181280</v>
      </c>
      <c r="B272" t="s">
        <v>314</v>
      </c>
      <c r="C272" t="s">
        <v>372</v>
      </c>
      <c r="D272">
        <v>8079</v>
      </c>
      <c r="E272" t="s">
        <v>293</v>
      </c>
    </row>
    <row r="273" spans="1:5" hidden="1" x14ac:dyDescent="0.25">
      <c r="A273">
        <v>181340</v>
      </c>
      <c r="B273" t="s">
        <v>443</v>
      </c>
      <c r="C273" t="s">
        <v>382</v>
      </c>
      <c r="D273">
        <v>8145</v>
      </c>
      <c r="E273" t="s">
        <v>293</v>
      </c>
    </row>
    <row r="274" spans="1:5" hidden="1" x14ac:dyDescent="0.25">
      <c r="A274">
        <v>181354</v>
      </c>
      <c r="B274" t="s">
        <v>444</v>
      </c>
      <c r="C274" t="s">
        <v>380</v>
      </c>
      <c r="D274">
        <v>8174</v>
      </c>
      <c r="E274" t="s">
        <v>293</v>
      </c>
    </row>
    <row r="275" spans="1:5" hidden="1" x14ac:dyDescent="0.25">
      <c r="A275">
        <v>181349</v>
      </c>
      <c r="B275" t="s">
        <v>445</v>
      </c>
      <c r="C275" t="s">
        <v>372</v>
      </c>
      <c r="D275">
        <v>8160</v>
      </c>
      <c r="E275" t="s">
        <v>293</v>
      </c>
    </row>
    <row r="276" spans="1:5" hidden="1" x14ac:dyDescent="0.25">
      <c r="A276">
        <v>181216</v>
      </c>
      <c r="B276" t="s">
        <v>267</v>
      </c>
      <c r="C276" t="s">
        <v>372</v>
      </c>
      <c r="D276">
        <v>7974</v>
      </c>
      <c r="E276" t="s">
        <v>293</v>
      </c>
    </row>
    <row r="277" spans="1:5" hidden="1" x14ac:dyDescent="0.25">
      <c r="A277">
        <v>181365</v>
      </c>
      <c r="B277" t="s">
        <v>446</v>
      </c>
      <c r="C277" t="s">
        <v>373</v>
      </c>
      <c r="D277">
        <v>8191</v>
      </c>
      <c r="E277" t="s">
        <v>293</v>
      </c>
    </row>
    <row r="278" spans="1:5" hidden="1" x14ac:dyDescent="0.25">
      <c r="A278">
        <v>181150</v>
      </c>
      <c r="B278" t="s">
        <v>268</v>
      </c>
      <c r="C278" t="s">
        <v>379</v>
      </c>
      <c r="D278">
        <v>7874</v>
      </c>
      <c r="E278" t="s">
        <v>293</v>
      </c>
    </row>
    <row r="279" spans="1:5" hidden="1" x14ac:dyDescent="0.25">
      <c r="A279">
        <v>181255</v>
      </c>
      <c r="B279" t="s">
        <v>315</v>
      </c>
      <c r="C279" t="s">
        <v>372</v>
      </c>
      <c r="D279">
        <v>8034</v>
      </c>
      <c r="E279" t="s">
        <v>293</v>
      </c>
    </row>
    <row r="280" spans="1:5" hidden="1" x14ac:dyDescent="0.25">
      <c r="A280">
        <v>181191</v>
      </c>
      <c r="B280" t="s">
        <v>269</v>
      </c>
      <c r="C280" t="s">
        <v>372</v>
      </c>
      <c r="D280">
        <v>7938</v>
      </c>
      <c r="E280" s="4" t="s">
        <v>293</v>
      </c>
    </row>
    <row r="281" spans="1:5" hidden="1" x14ac:dyDescent="0.25">
      <c r="A281">
        <v>181294</v>
      </c>
      <c r="B281" t="s">
        <v>316</v>
      </c>
      <c r="C281" t="s">
        <v>366</v>
      </c>
      <c r="D281">
        <v>8099</v>
      </c>
      <c r="E281" t="s">
        <v>293</v>
      </c>
    </row>
    <row r="282" spans="1:5" hidden="1" x14ac:dyDescent="0.25">
      <c r="A282">
        <v>181152</v>
      </c>
      <c r="B282" t="s">
        <v>270</v>
      </c>
      <c r="C282" t="s">
        <v>372</v>
      </c>
      <c r="D282">
        <v>7876</v>
      </c>
      <c r="E282" t="s">
        <v>293</v>
      </c>
    </row>
    <row r="283" spans="1:5" hidden="1" x14ac:dyDescent="0.25">
      <c r="A283">
        <v>181172</v>
      </c>
      <c r="B283" t="s">
        <v>271</v>
      </c>
      <c r="C283" t="s">
        <v>379</v>
      </c>
      <c r="D283">
        <v>7910</v>
      </c>
      <c r="E283" t="s">
        <v>293</v>
      </c>
    </row>
    <row r="284" spans="1:5" hidden="1" x14ac:dyDescent="0.25">
      <c r="A284">
        <v>181185</v>
      </c>
      <c r="B284" t="s">
        <v>272</v>
      </c>
      <c r="C284" t="s">
        <v>378</v>
      </c>
      <c r="D284">
        <v>7926</v>
      </c>
      <c r="E284" t="s">
        <v>293</v>
      </c>
    </row>
    <row r="285" spans="1:5" hidden="1" x14ac:dyDescent="0.25">
      <c r="A285">
        <v>181169</v>
      </c>
      <c r="B285" t="s">
        <v>273</v>
      </c>
      <c r="C285" t="s">
        <v>372</v>
      </c>
      <c r="D285">
        <v>7898</v>
      </c>
      <c r="E285" t="s">
        <v>293</v>
      </c>
    </row>
    <row r="286" spans="1:5" hidden="1" x14ac:dyDescent="0.25">
      <c r="A286">
        <v>181129</v>
      </c>
      <c r="B286" t="s">
        <v>38</v>
      </c>
      <c r="C286" t="s">
        <v>366</v>
      </c>
      <c r="D286">
        <v>7827</v>
      </c>
      <c r="E286" t="s">
        <v>293</v>
      </c>
    </row>
    <row r="287" spans="1:5" hidden="1" x14ac:dyDescent="0.25">
      <c r="A287">
        <v>181282</v>
      </c>
      <c r="B287" t="s">
        <v>317</v>
      </c>
      <c r="C287" t="s">
        <v>372</v>
      </c>
      <c r="D287">
        <v>8078</v>
      </c>
      <c r="E287" t="s">
        <v>293</v>
      </c>
    </row>
    <row r="288" spans="1:5" hidden="1" x14ac:dyDescent="0.25">
      <c r="A288">
        <v>181177</v>
      </c>
      <c r="B288" t="s">
        <v>274</v>
      </c>
      <c r="C288" t="s">
        <v>379</v>
      </c>
      <c r="D288">
        <v>7911</v>
      </c>
      <c r="E288" t="s">
        <v>293</v>
      </c>
    </row>
    <row r="289" spans="1:5" hidden="1" x14ac:dyDescent="0.25">
      <c r="A289">
        <v>181300</v>
      </c>
      <c r="B289" t="s">
        <v>447</v>
      </c>
      <c r="C289" t="s">
        <v>366</v>
      </c>
      <c r="D289">
        <v>8120</v>
      </c>
      <c r="E289" t="s">
        <v>293</v>
      </c>
    </row>
    <row r="290" spans="1:5" hidden="1" x14ac:dyDescent="0.25">
      <c r="A290">
        <v>181368</v>
      </c>
      <c r="B290" t="s">
        <v>448</v>
      </c>
      <c r="C290" t="s">
        <v>378</v>
      </c>
      <c r="D290">
        <v>8196</v>
      </c>
      <c r="E290" t="s">
        <v>293</v>
      </c>
    </row>
    <row r="291" spans="1:5" hidden="1" x14ac:dyDescent="0.25">
      <c r="A291">
        <v>181337</v>
      </c>
      <c r="B291" t="s">
        <v>449</v>
      </c>
      <c r="C291" t="s">
        <v>380</v>
      </c>
      <c r="D291">
        <v>8142</v>
      </c>
      <c r="E291" t="s">
        <v>293</v>
      </c>
    </row>
    <row r="292" spans="1:5" hidden="1" x14ac:dyDescent="0.25">
      <c r="A292">
        <v>181196</v>
      </c>
      <c r="B292" t="s">
        <v>275</v>
      </c>
      <c r="C292" t="s">
        <v>366</v>
      </c>
      <c r="D292">
        <v>7932</v>
      </c>
      <c r="E292" t="s">
        <v>293</v>
      </c>
    </row>
    <row r="293" spans="1:5" hidden="1" x14ac:dyDescent="0.25">
      <c r="A293">
        <v>181284</v>
      </c>
      <c r="B293" t="s">
        <v>318</v>
      </c>
      <c r="C293" t="s">
        <v>373</v>
      </c>
      <c r="D293">
        <v>8090</v>
      </c>
      <c r="E293" t="s">
        <v>293</v>
      </c>
    </row>
    <row r="294" spans="1:5" hidden="1" x14ac:dyDescent="0.25">
      <c r="A294">
        <v>181126</v>
      </c>
      <c r="B294" t="s">
        <v>169</v>
      </c>
      <c r="C294" t="s">
        <v>372</v>
      </c>
      <c r="D294">
        <v>7820</v>
      </c>
      <c r="E294" t="s">
        <v>293</v>
      </c>
    </row>
    <row r="295" spans="1:5" hidden="1" x14ac:dyDescent="0.25">
      <c r="A295">
        <v>181200</v>
      </c>
      <c r="B295" t="s">
        <v>276</v>
      </c>
      <c r="C295" t="s">
        <v>366</v>
      </c>
      <c r="D295">
        <v>7944</v>
      </c>
      <c r="E295" t="s">
        <v>293</v>
      </c>
    </row>
    <row r="296" spans="1:5" hidden="1" x14ac:dyDescent="0.25">
      <c r="A296">
        <v>181350</v>
      </c>
      <c r="B296" t="s">
        <v>450</v>
      </c>
      <c r="C296" t="s">
        <v>372</v>
      </c>
      <c r="D296">
        <v>8161</v>
      </c>
      <c r="E296" t="s">
        <v>293</v>
      </c>
    </row>
    <row r="297" spans="1:5" hidden="1" x14ac:dyDescent="0.25">
      <c r="A297">
        <v>181239</v>
      </c>
      <c r="B297" t="s">
        <v>319</v>
      </c>
      <c r="C297" t="s">
        <v>372</v>
      </c>
      <c r="D297">
        <v>8017</v>
      </c>
      <c r="E297" t="s">
        <v>293</v>
      </c>
    </row>
    <row r="298" spans="1:5" hidden="1" x14ac:dyDescent="0.25">
      <c r="A298">
        <v>181245</v>
      </c>
      <c r="B298" t="s">
        <v>320</v>
      </c>
      <c r="C298" t="s">
        <v>372</v>
      </c>
      <c r="D298">
        <v>8023</v>
      </c>
      <c r="E298" t="s">
        <v>293</v>
      </c>
    </row>
    <row r="299" spans="1:5" hidden="1" x14ac:dyDescent="0.25">
      <c r="A299">
        <v>181287</v>
      </c>
      <c r="B299" t="s">
        <v>321</v>
      </c>
      <c r="C299" t="s">
        <v>366</v>
      </c>
      <c r="D299">
        <v>8096</v>
      </c>
      <c r="E299" t="s">
        <v>293</v>
      </c>
    </row>
    <row r="300" spans="1:5" hidden="1" x14ac:dyDescent="0.25">
      <c r="A300">
        <v>181268</v>
      </c>
      <c r="B300" t="s">
        <v>322</v>
      </c>
      <c r="C300" t="s">
        <v>378</v>
      </c>
      <c r="D300">
        <v>8052</v>
      </c>
      <c r="E300" t="s">
        <v>293</v>
      </c>
    </row>
    <row r="301" spans="1:5" hidden="1" x14ac:dyDescent="0.25">
      <c r="A301">
        <v>35572</v>
      </c>
      <c r="B301" t="s">
        <v>147</v>
      </c>
      <c r="C301" t="s">
        <v>372</v>
      </c>
      <c r="D301">
        <v>290</v>
      </c>
      <c r="E301" t="s">
        <v>323</v>
      </c>
    </row>
    <row r="302" spans="1:5" hidden="1" x14ac:dyDescent="0.25">
      <c r="A302">
        <v>100712</v>
      </c>
      <c r="B302" t="s">
        <v>85</v>
      </c>
      <c r="C302" t="s">
        <v>382</v>
      </c>
      <c r="D302">
        <v>3704</v>
      </c>
      <c r="E302" t="s">
        <v>323</v>
      </c>
    </row>
    <row r="303" spans="1:5" hidden="1" x14ac:dyDescent="0.25">
      <c r="A303">
        <v>100715</v>
      </c>
      <c r="B303" t="s">
        <v>277</v>
      </c>
      <c r="C303" t="s">
        <v>395</v>
      </c>
      <c r="D303">
        <v>3720</v>
      </c>
      <c r="E303" t="s">
        <v>323</v>
      </c>
    </row>
    <row r="304" spans="1:5" hidden="1" x14ac:dyDescent="0.25">
      <c r="A304">
        <v>101068</v>
      </c>
      <c r="B304" t="s">
        <v>149</v>
      </c>
      <c r="C304" t="s">
        <v>395</v>
      </c>
      <c r="D304">
        <v>4409</v>
      </c>
      <c r="E304" t="s">
        <v>323</v>
      </c>
    </row>
    <row r="305" spans="1:5" hidden="1" x14ac:dyDescent="0.25">
      <c r="A305">
        <v>100879</v>
      </c>
      <c r="B305" t="s">
        <v>35</v>
      </c>
      <c r="C305" t="s">
        <v>366</v>
      </c>
      <c r="D305">
        <v>4032</v>
      </c>
      <c r="E305" t="s">
        <v>323</v>
      </c>
    </row>
    <row r="306" spans="1:5" hidden="1" x14ac:dyDescent="0.25">
      <c r="A306">
        <v>100765</v>
      </c>
      <c r="B306" t="s">
        <v>36</v>
      </c>
      <c r="C306" t="s">
        <v>366</v>
      </c>
      <c r="D306">
        <v>3822</v>
      </c>
      <c r="E306" t="s">
        <v>323</v>
      </c>
    </row>
    <row r="307" spans="1:5" hidden="1" x14ac:dyDescent="0.25">
      <c r="A307">
        <v>122193</v>
      </c>
      <c r="B307" t="s">
        <v>27</v>
      </c>
      <c r="C307" t="s">
        <v>366</v>
      </c>
      <c r="D307">
        <v>4835</v>
      </c>
      <c r="E307" t="s">
        <v>323</v>
      </c>
    </row>
    <row r="308" spans="1:5" hidden="1" x14ac:dyDescent="0.25">
      <c r="A308">
        <v>100913</v>
      </c>
      <c r="B308" t="s">
        <v>167</v>
      </c>
      <c r="C308" t="s">
        <v>382</v>
      </c>
      <c r="D308">
        <v>4110</v>
      </c>
      <c r="E308" t="s">
        <v>323</v>
      </c>
    </row>
    <row r="309" spans="1:5" hidden="1" x14ac:dyDescent="0.25">
      <c r="A309">
        <v>100846</v>
      </c>
      <c r="B309" t="s">
        <v>49</v>
      </c>
      <c r="C309" t="s">
        <v>366</v>
      </c>
      <c r="D309">
        <v>3956</v>
      </c>
      <c r="E309" t="s">
        <v>323</v>
      </c>
    </row>
    <row r="310" spans="1:5" hidden="1" x14ac:dyDescent="0.25">
      <c r="A310">
        <v>180098</v>
      </c>
      <c r="B310" t="s">
        <v>103</v>
      </c>
      <c r="C310" t="s">
        <v>372</v>
      </c>
      <c r="D310">
        <v>6534</v>
      </c>
      <c r="E310" t="s">
        <v>323</v>
      </c>
    </row>
    <row r="311" spans="1:5" hidden="1" x14ac:dyDescent="0.25">
      <c r="A311">
        <v>180753</v>
      </c>
      <c r="B311" t="s">
        <v>3</v>
      </c>
      <c r="C311" t="s">
        <v>382</v>
      </c>
      <c r="D311">
        <v>7042</v>
      </c>
      <c r="E311" t="s">
        <v>323</v>
      </c>
    </row>
    <row r="312" spans="1:5" hidden="1" x14ac:dyDescent="0.25">
      <c r="A312">
        <v>180085</v>
      </c>
      <c r="B312" t="s">
        <v>81</v>
      </c>
      <c r="C312" t="s">
        <v>382</v>
      </c>
      <c r="D312">
        <v>6523</v>
      </c>
      <c r="E312" t="s">
        <v>323</v>
      </c>
    </row>
    <row r="313" spans="1:5" hidden="1" x14ac:dyDescent="0.25">
      <c r="A313">
        <v>180086</v>
      </c>
      <c r="B313" t="s">
        <v>9</v>
      </c>
      <c r="C313" t="s">
        <v>382</v>
      </c>
      <c r="D313">
        <v>6524</v>
      </c>
      <c r="E313" t="s">
        <v>323</v>
      </c>
    </row>
    <row r="314" spans="1:5" hidden="1" x14ac:dyDescent="0.25">
      <c r="A314">
        <v>180197</v>
      </c>
      <c r="B314" t="s">
        <v>92</v>
      </c>
      <c r="C314" t="s">
        <v>372</v>
      </c>
      <c r="D314">
        <v>6737</v>
      </c>
      <c r="E314" t="s">
        <v>323</v>
      </c>
    </row>
    <row r="315" spans="1:5" hidden="1" x14ac:dyDescent="0.25">
      <c r="A315">
        <v>180079</v>
      </c>
      <c r="B315" t="s">
        <v>163</v>
      </c>
      <c r="C315" t="s">
        <v>366</v>
      </c>
      <c r="D315">
        <v>6507</v>
      </c>
      <c r="E315" t="s">
        <v>323</v>
      </c>
    </row>
    <row r="316" spans="1:5" hidden="1" x14ac:dyDescent="0.25">
      <c r="A316">
        <v>181154</v>
      </c>
      <c r="B316" t="s">
        <v>278</v>
      </c>
      <c r="C316" t="s">
        <v>366</v>
      </c>
      <c r="D316">
        <v>7882</v>
      </c>
      <c r="E316" t="s">
        <v>323</v>
      </c>
    </row>
    <row r="317" spans="1:5" hidden="1" x14ac:dyDescent="0.25">
      <c r="A317">
        <v>181367</v>
      </c>
      <c r="B317" t="s">
        <v>451</v>
      </c>
      <c r="C317" t="s">
        <v>379</v>
      </c>
      <c r="D317">
        <v>8185</v>
      </c>
      <c r="E317" t="s">
        <v>323</v>
      </c>
    </row>
    <row r="318" spans="1:5" hidden="1" x14ac:dyDescent="0.25">
      <c r="A318">
        <v>181163</v>
      </c>
      <c r="B318" t="s">
        <v>279</v>
      </c>
      <c r="C318" t="s">
        <v>378</v>
      </c>
      <c r="D318">
        <v>7890</v>
      </c>
      <c r="E318" t="s">
        <v>323</v>
      </c>
    </row>
    <row r="319" spans="1:5" hidden="1" x14ac:dyDescent="0.25">
      <c r="A319">
        <v>1224</v>
      </c>
      <c r="B319" t="s">
        <v>48</v>
      </c>
      <c r="C319" t="s">
        <v>375</v>
      </c>
      <c r="D319">
        <v>106</v>
      </c>
      <c r="E319" t="s">
        <v>402</v>
      </c>
    </row>
    <row r="320" spans="1:5" hidden="1" x14ac:dyDescent="0.25">
      <c r="A320">
        <v>36723</v>
      </c>
      <c r="B320" t="s">
        <v>134</v>
      </c>
      <c r="C320" t="s">
        <v>375</v>
      </c>
      <c r="D320">
        <v>926</v>
      </c>
      <c r="E320" t="s">
        <v>402</v>
      </c>
    </row>
    <row r="321" spans="1:5" hidden="1" x14ac:dyDescent="0.25">
      <c r="A321">
        <v>70015</v>
      </c>
      <c r="B321" t="s">
        <v>65</v>
      </c>
      <c r="C321" t="s">
        <v>375</v>
      </c>
      <c r="D321">
        <v>1967</v>
      </c>
      <c r="E321" t="s">
        <v>402</v>
      </c>
    </row>
    <row r="322" spans="1:5" hidden="1" x14ac:dyDescent="0.25">
      <c r="A322">
        <v>122114</v>
      </c>
      <c r="B322" t="s">
        <v>107</v>
      </c>
      <c r="C322" t="s">
        <v>371</v>
      </c>
      <c r="D322">
        <v>4623</v>
      </c>
      <c r="E322" t="s">
        <v>402</v>
      </c>
    </row>
    <row r="323" spans="1:5" hidden="1" x14ac:dyDescent="0.25">
      <c r="A323">
        <v>100873</v>
      </c>
      <c r="B323" t="s">
        <v>124</v>
      </c>
      <c r="C323" t="s">
        <v>371</v>
      </c>
      <c r="D323">
        <v>4002</v>
      </c>
      <c r="E323" t="s">
        <v>402</v>
      </c>
    </row>
    <row r="324" spans="1:5" hidden="1" x14ac:dyDescent="0.25">
      <c r="A324">
        <v>122268</v>
      </c>
      <c r="B324" t="s">
        <v>19</v>
      </c>
      <c r="C324" t="s">
        <v>375</v>
      </c>
      <c r="D324">
        <v>5014</v>
      </c>
      <c r="E324" t="s">
        <v>402</v>
      </c>
    </row>
    <row r="325" spans="1:5" hidden="1" x14ac:dyDescent="0.25">
      <c r="A325">
        <v>122407</v>
      </c>
      <c r="B325" t="s">
        <v>31</v>
      </c>
      <c r="C325" t="s">
        <v>371</v>
      </c>
      <c r="D325">
        <v>5408</v>
      </c>
      <c r="E325" t="s">
        <v>402</v>
      </c>
    </row>
    <row r="326" spans="1:5" hidden="1" x14ac:dyDescent="0.25">
      <c r="A326">
        <v>122626</v>
      </c>
      <c r="B326" t="s">
        <v>104</v>
      </c>
      <c r="C326" t="s">
        <v>375</v>
      </c>
      <c r="D326">
        <v>6040</v>
      </c>
      <c r="E326" t="s">
        <v>402</v>
      </c>
    </row>
    <row r="327" spans="1:5" hidden="1" x14ac:dyDescent="0.25">
      <c r="A327">
        <v>122529</v>
      </c>
      <c r="B327" t="s">
        <v>42</v>
      </c>
      <c r="C327" t="s">
        <v>375</v>
      </c>
      <c r="D327">
        <v>5796</v>
      </c>
      <c r="E327" t="s">
        <v>402</v>
      </c>
    </row>
    <row r="328" spans="1:5" hidden="1" x14ac:dyDescent="0.25">
      <c r="A328">
        <v>180775</v>
      </c>
      <c r="B328" t="s">
        <v>0</v>
      </c>
      <c r="C328" t="s">
        <v>371</v>
      </c>
      <c r="D328">
        <v>7084</v>
      </c>
      <c r="E328" t="s">
        <v>402</v>
      </c>
    </row>
    <row r="329" spans="1:5" hidden="1" x14ac:dyDescent="0.25">
      <c r="A329">
        <v>122592</v>
      </c>
      <c r="B329" t="s">
        <v>78</v>
      </c>
      <c r="C329" t="s">
        <v>375</v>
      </c>
      <c r="D329">
        <v>5950</v>
      </c>
      <c r="E329" t="s">
        <v>402</v>
      </c>
    </row>
    <row r="330" spans="1:5" hidden="1" x14ac:dyDescent="0.25">
      <c r="A330">
        <v>180897</v>
      </c>
      <c r="B330" t="s">
        <v>151</v>
      </c>
      <c r="C330" t="s">
        <v>375</v>
      </c>
      <c r="D330">
        <v>7345</v>
      </c>
      <c r="E330" t="s">
        <v>402</v>
      </c>
    </row>
    <row r="331" spans="1:5" hidden="1" x14ac:dyDescent="0.25">
      <c r="A331">
        <v>122586</v>
      </c>
      <c r="B331" t="s">
        <v>71</v>
      </c>
      <c r="C331" t="s">
        <v>371</v>
      </c>
      <c r="D331">
        <v>5937</v>
      </c>
      <c r="E331" t="s">
        <v>402</v>
      </c>
    </row>
    <row r="332" spans="1:5" hidden="1" x14ac:dyDescent="0.25">
      <c r="A332">
        <v>122621</v>
      </c>
      <c r="B332" t="s">
        <v>76</v>
      </c>
      <c r="C332" t="s">
        <v>371</v>
      </c>
      <c r="D332">
        <v>6029</v>
      </c>
      <c r="E332" t="s">
        <v>402</v>
      </c>
    </row>
    <row r="333" spans="1:5" hidden="1" x14ac:dyDescent="0.25">
      <c r="A333">
        <v>100125</v>
      </c>
      <c r="B333" t="s">
        <v>155</v>
      </c>
      <c r="C333" t="s">
        <v>371</v>
      </c>
      <c r="D333">
        <v>2652</v>
      </c>
      <c r="E333" t="s">
        <v>403</v>
      </c>
    </row>
    <row r="334" spans="1:5" hidden="1" x14ac:dyDescent="0.25">
      <c r="A334">
        <v>100360</v>
      </c>
      <c r="B334" t="s">
        <v>170</v>
      </c>
      <c r="C334" t="s">
        <v>378</v>
      </c>
      <c r="D334">
        <v>3011</v>
      </c>
      <c r="E334" t="s">
        <v>403</v>
      </c>
    </row>
    <row r="335" spans="1:5" hidden="1" x14ac:dyDescent="0.25">
      <c r="A335">
        <v>101124</v>
      </c>
      <c r="B335" t="s">
        <v>30</v>
      </c>
      <c r="C335" t="s">
        <v>380</v>
      </c>
      <c r="D335">
        <v>4562</v>
      </c>
      <c r="E335" t="s">
        <v>403</v>
      </c>
    </row>
    <row r="336" spans="1:5" hidden="1" x14ac:dyDescent="0.25">
      <c r="A336">
        <v>122702</v>
      </c>
      <c r="B336" t="s">
        <v>181</v>
      </c>
      <c r="C336" t="s">
        <v>378</v>
      </c>
      <c r="D336">
        <v>6239</v>
      </c>
      <c r="E336" t="s">
        <v>403</v>
      </c>
    </row>
    <row r="337" spans="1:5" hidden="1" x14ac:dyDescent="0.25">
      <c r="A337">
        <v>180838</v>
      </c>
      <c r="B337" t="s">
        <v>180</v>
      </c>
      <c r="C337" t="s">
        <v>378</v>
      </c>
      <c r="D337">
        <v>7223</v>
      </c>
      <c r="E337" t="s">
        <v>403</v>
      </c>
    </row>
    <row r="338" spans="1:5" hidden="1" x14ac:dyDescent="0.25">
      <c r="A338">
        <v>181006</v>
      </c>
      <c r="B338" t="s">
        <v>141</v>
      </c>
      <c r="C338" t="s">
        <v>378</v>
      </c>
      <c r="D338">
        <v>7598</v>
      </c>
      <c r="E338" t="s">
        <v>403</v>
      </c>
    </row>
    <row r="339" spans="1:5" hidden="1" x14ac:dyDescent="0.25">
      <c r="A339">
        <v>180926</v>
      </c>
      <c r="B339" t="s">
        <v>160</v>
      </c>
      <c r="C339" t="s">
        <v>373</v>
      </c>
      <c r="D339">
        <v>7428</v>
      </c>
      <c r="E339" t="s">
        <v>403</v>
      </c>
    </row>
    <row r="340" spans="1:5" hidden="1" x14ac:dyDescent="0.25">
      <c r="A340">
        <v>180931</v>
      </c>
      <c r="B340" t="s">
        <v>80</v>
      </c>
      <c r="C340" t="s">
        <v>378</v>
      </c>
      <c r="D340">
        <v>7445</v>
      </c>
      <c r="E340" t="s">
        <v>403</v>
      </c>
    </row>
    <row r="341" spans="1:5" hidden="1" x14ac:dyDescent="0.25">
      <c r="A341">
        <v>180702</v>
      </c>
      <c r="B341" t="s">
        <v>130</v>
      </c>
      <c r="C341" t="s">
        <v>378</v>
      </c>
      <c r="D341">
        <v>6972</v>
      </c>
      <c r="E341" t="s">
        <v>403</v>
      </c>
    </row>
    <row r="342" spans="1:5" hidden="1" x14ac:dyDescent="0.25">
      <c r="A342">
        <v>180869</v>
      </c>
      <c r="B342" t="s">
        <v>115</v>
      </c>
      <c r="C342" t="s">
        <v>378</v>
      </c>
      <c r="D342">
        <v>7283</v>
      </c>
      <c r="E342" t="s">
        <v>403</v>
      </c>
    </row>
    <row r="343" spans="1:5" hidden="1" x14ac:dyDescent="0.25">
      <c r="A343">
        <v>122692</v>
      </c>
      <c r="B343" t="s">
        <v>324</v>
      </c>
      <c r="C343" t="s">
        <v>375</v>
      </c>
      <c r="D343">
        <v>6206</v>
      </c>
      <c r="E343" t="s">
        <v>403</v>
      </c>
    </row>
    <row r="344" spans="1:5" hidden="1" x14ac:dyDescent="0.25">
      <c r="A344">
        <v>150027</v>
      </c>
      <c r="B344" t="s">
        <v>280</v>
      </c>
      <c r="C344" t="s">
        <v>373</v>
      </c>
      <c r="D344">
        <v>6326</v>
      </c>
      <c r="E344" t="s">
        <v>403</v>
      </c>
    </row>
    <row r="345" spans="1:5" hidden="1" x14ac:dyDescent="0.25">
      <c r="A345">
        <v>180154</v>
      </c>
      <c r="B345" t="s">
        <v>58</v>
      </c>
      <c r="C345" t="s">
        <v>378</v>
      </c>
      <c r="D345">
        <v>6667</v>
      </c>
      <c r="E345" t="s">
        <v>403</v>
      </c>
    </row>
    <row r="346" spans="1:5" hidden="1" x14ac:dyDescent="0.25">
      <c r="A346">
        <v>180110</v>
      </c>
      <c r="B346" t="s">
        <v>98</v>
      </c>
      <c r="C346" t="s">
        <v>380</v>
      </c>
      <c r="D346">
        <v>6555</v>
      </c>
      <c r="E346" t="s">
        <v>403</v>
      </c>
    </row>
    <row r="347" spans="1:5" hidden="1" x14ac:dyDescent="0.25">
      <c r="A347">
        <v>180698</v>
      </c>
      <c r="B347" t="s">
        <v>90</v>
      </c>
      <c r="C347" t="s">
        <v>380</v>
      </c>
      <c r="D347">
        <v>6963</v>
      </c>
      <c r="E347" t="s">
        <v>403</v>
      </c>
    </row>
    <row r="348" spans="1:5" hidden="1" x14ac:dyDescent="0.25">
      <c r="A348">
        <v>180033</v>
      </c>
      <c r="B348" t="s">
        <v>99</v>
      </c>
      <c r="C348" t="s">
        <v>375</v>
      </c>
      <c r="D348">
        <v>6403</v>
      </c>
      <c r="E348" t="s">
        <v>403</v>
      </c>
    </row>
    <row r="349" spans="1:5" hidden="1" x14ac:dyDescent="0.25">
      <c r="A349">
        <v>180989</v>
      </c>
      <c r="B349" t="s">
        <v>118</v>
      </c>
      <c r="C349" t="s">
        <v>378</v>
      </c>
      <c r="D349">
        <v>7563</v>
      </c>
      <c r="E349" t="s">
        <v>403</v>
      </c>
    </row>
    <row r="350" spans="1:5" hidden="1" x14ac:dyDescent="0.25">
      <c r="A350">
        <v>122666</v>
      </c>
      <c r="B350" t="s">
        <v>54</v>
      </c>
      <c r="C350" t="s">
        <v>373</v>
      </c>
      <c r="D350">
        <v>6149</v>
      </c>
      <c r="E350" t="s">
        <v>403</v>
      </c>
    </row>
    <row r="351" spans="1:5" hidden="1" x14ac:dyDescent="0.25">
      <c r="A351">
        <v>180828</v>
      </c>
      <c r="B351" t="s">
        <v>44</v>
      </c>
      <c r="C351" t="s">
        <v>373</v>
      </c>
      <c r="D351">
        <v>6975</v>
      </c>
      <c r="E351" t="s">
        <v>403</v>
      </c>
    </row>
    <row r="352" spans="1:5" ht="15.75" hidden="1" thickBot="1" x14ac:dyDescent="0.3">
      <c r="A352">
        <v>180123</v>
      </c>
      <c r="B352" t="s">
        <v>110</v>
      </c>
      <c r="C352" t="s">
        <v>373</v>
      </c>
      <c r="D352">
        <v>6603</v>
      </c>
      <c r="E352" s="5" t="s">
        <v>403</v>
      </c>
    </row>
    <row r="353" spans="1:5" hidden="1" x14ac:dyDescent="0.25">
      <c r="A353">
        <v>180082</v>
      </c>
      <c r="B353" t="s">
        <v>128</v>
      </c>
      <c r="C353" t="s">
        <v>373</v>
      </c>
      <c r="D353">
        <v>6514</v>
      </c>
      <c r="E353" t="s">
        <v>403</v>
      </c>
    </row>
    <row r="354" spans="1:5" hidden="1" x14ac:dyDescent="0.25">
      <c r="A354">
        <v>180143</v>
      </c>
      <c r="B354" t="s">
        <v>34</v>
      </c>
      <c r="C354" t="s">
        <v>380</v>
      </c>
      <c r="D354">
        <v>6643</v>
      </c>
      <c r="E354" t="s">
        <v>403</v>
      </c>
    </row>
    <row r="355" spans="1:5" hidden="1" x14ac:dyDescent="0.25">
      <c r="A355">
        <v>181083</v>
      </c>
      <c r="B355" t="s">
        <v>281</v>
      </c>
      <c r="C355" t="s">
        <v>379</v>
      </c>
      <c r="D355">
        <v>7733</v>
      </c>
      <c r="E355" t="s">
        <v>404</v>
      </c>
    </row>
    <row r="356" spans="1:5" hidden="1" x14ac:dyDescent="0.25">
      <c r="A356">
        <v>180968</v>
      </c>
      <c r="B356" t="s">
        <v>282</v>
      </c>
      <c r="C356" t="s">
        <v>379</v>
      </c>
      <c r="D356">
        <v>7491</v>
      </c>
      <c r="E356" t="s">
        <v>404</v>
      </c>
    </row>
    <row r="357" spans="1:5" hidden="1" x14ac:dyDescent="0.25">
      <c r="A357">
        <v>181260</v>
      </c>
      <c r="B357" t="s">
        <v>405</v>
      </c>
      <c r="C357" t="s">
        <v>379</v>
      </c>
      <c r="D357">
        <v>8042</v>
      </c>
      <c r="E357" t="s">
        <v>404</v>
      </c>
    </row>
    <row r="358" spans="1:5" hidden="1" x14ac:dyDescent="0.25">
      <c r="A358">
        <v>181016</v>
      </c>
      <c r="B358" t="s">
        <v>406</v>
      </c>
      <c r="C358" t="s">
        <v>379</v>
      </c>
      <c r="D358">
        <v>7619</v>
      </c>
      <c r="E358" t="s">
        <v>325</v>
      </c>
    </row>
    <row r="359" spans="1:5" hidden="1" x14ac:dyDescent="0.25">
      <c r="A359">
        <v>181082</v>
      </c>
      <c r="B359" t="s">
        <v>407</v>
      </c>
      <c r="C359" t="s">
        <v>379</v>
      </c>
      <c r="D359">
        <v>7734</v>
      </c>
      <c r="E359" t="s">
        <v>325</v>
      </c>
    </row>
    <row r="360" spans="1:5" hidden="1" x14ac:dyDescent="0.25">
      <c r="A360">
        <v>181288</v>
      </c>
      <c r="B360" t="s">
        <v>326</v>
      </c>
      <c r="C360" t="s">
        <v>366</v>
      </c>
      <c r="D360">
        <v>8097</v>
      </c>
      <c r="E360" t="s">
        <v>325</v>
      </c>
    </row>
    <row r="361" spans="1:5" hidden="1" x14ac:dyDescent="0.25">
      <c r="A361">
        <v>180847</v>
      </c>
      <c r="B361" t="s">
        <v>50</v>
      </c>
      <c r="C361" t="s">
        <v>368</v>
      </c>
      <c r="D361">
        <v>7237</v>
      </c>
      <c r="E361" t="s">
        <v>327</v>
      </c>
    </row>
    <row r="362" spans="1:5" hidden="1" x14ac:dyDescent="0.25">
      <c r="A362">
        <v>181355</v>
      </c>
      <c r="B362" t="s">
        <v>452</v>
      </c>
      <c r="C362" t="s">
        <v>371</v>
      </c>
      <c r="D362">
        <v>8183</v>
      </c>
      <c r="E362" t="s">
        <v>327</v>
      </c>
    </row>
    <row r="363" spans="1:5" hidden="1" x14ac:dyDescent="0.25">
      <c r="A363">
        <v>181229</v>
      </c>
      <c r="B363" t="s">
        <v>328</v>
      </c>
      <c r="C363" t="s">
        <v>366</v>
      </c>
      <c r="D363">
        <v>7990</v>
      </c>
      <c r="E363" t="s">
        <v>327</v>
      </c>
    </row>
    <row r="364" spans="1:5" hidden="1" x14ac:dyDescent="0.25">
      <c r="A364">
        <v>122232</v>
      </c>
      <c r="B364" t="s">
        <v>131</v>
      </c>
      <c r="C364" t="s">
        <v>373</v>
      </c>
      <c r="D364">
        <v>4954</v>
      </c>
      <c r="E364" t="s">
        <v>408</v>
      </c>
    </row>
  </sheetData>
  <autoFilter ref="A1:E364" xr:uid="{8A311B56-6862-436C-B9CE-51537B7F1FEE}">
    <filterColumn colId="3">
      <colorFilter dxfId="4"/>
    </filterColumn>
  </autoFilter>
  <sortState xmlns:xlrd2="http://schemas.microsoft.com/office/spreadsheetml/2017/richdata2" ref="A2:E352">
    <sortCondition ref="B1:B352"/>
  </sortState>
  <conditionalFormatting sqref="D1:D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8AF2C7-E1A6-418B-BACD-3101114BED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ATIVOS</vt:lpstr>
      <vt:lpstr>ABST</vt:lpstr>
      <vt:lpstr>CD_EQUIPES</vt:lpstr>
      <vt:lpstr>8573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Oliveira</dc:creator>
  <cp:lastModifiedBy>Wesley Oliveira </cp:lastModifiedBy>
  <dcterms:created xsi:type="dcterms:W3CDTF">2025-05-21T17:58:21Z</dcterms:created>
  <dcterms:modified xsi:type="dcterms:W3CDTF">2026-03-24T13:33:31Z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19.2.7.0</vt:lpwstr>
  </property>
</Properties>
</file>